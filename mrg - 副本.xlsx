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u01\OneDrive - ARM China\wudan\md\"/>
    </mc:Choice>
  </mc:AlternateContent>
  <xr:revisionPtr revIDLastSave="1" documentId="6_{D29C406F-0143-47D1-9F70-938FA7D2E7C4}" xr6:coauthVersionLast="33" xr6:coauthVersionMax="33" xr10:uidLastSave="{2F528F57-03F6-4481-985B-A483DB26CA11}"/>
  <bookViews>
    <workbookView xWindow="0" yWindow="0" windowWidth="28800" windowHeight="12135" tabRatio="948" firstSheet="4" activeTab="14" xr2:uid="{39627F01-7337-4F89-8A01-1D6EB359A865}"/>
  </bookViews>
  <sheets>
    <sheet name="v0" sheetId="1" r:id="rId1"/>
    <sheet name="struct" sheetId="29" r:id="rId2"/>
    <sheet name="interface" sheetId="30" r:id="rId3"/>
    <sheet name="job" sheetId="31" r:id="rId4"/>
    <sheet name="output format" sheetId="27" r:id="rId5"/>
    <sheet name="264PMF Y c0 round0" sheetId="20" r:id="rId6"/>
    <sheet name="264PMF Y c1 round0" sheetId="21" r:id="rId7"/>
    <sheet name="264PMF UV c0 round0" sheetId="24" r:id="rId8"/>
    <sheet name="264PMF UV c1 round0" sheetId="25" r:id="rId9"/>
    <sheet name="PMF c0 round0" sheetId="3" r:id="rId10"/>
    <sheet name="PMF sp c0 round0" sheetId="12" r:id="rId11"/>
    <sheet name="PMF sp c0 round1-3" sheetId="14" r:id="rId12"/>
    <sheet name="PMF c0 round1-3" sheetId="4" r:id="rId13"/>
    <sheet name="PMF c1 round0" sheetId="7" r:id="rId14"/>
    <sheet name="PMF c1 round1-3" sheetId="19" r:id="rId15"/>
    <sheet name="PMF UV c0 round0" sheetId="9" r:id="rId16"/>
    <sheet name="PMF UV c0 round1-3" sheetId="13" r:id="rId17"/>
    <sheet name="PMF UV c1 round0" sheetId="17" r:id="rId18"/>
    <sheet name="PMF UV c1 round1-3" sheetId="11" r:id="rId19"/>
    <sheet name="Sheet22" sheetId="28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9" l="1"/>
  <c r="B6" i="21" l="1"/>
  <c r="B6" i="25" s="1"/>
  <c r="B5" i="25"/>
  <c r="B18" i="24"/>
  <c r="B14" i="24"/>
  <c r="B10" i="24"/>
  <c r="B5" i="11"/>
  <c r="B5" i="13"/>
  <c r="C5" i="13"/>
  <c r="D5" i="13" s="1"/>
  <c r="B21" i="13"/>
  <c r="B17" i="13"/>
  <c r="B13" i="13"/>
  <c r="B9" i="13"/>
  <c r="B20" i="9"/>
  <c r="B16" i="9"/>
  <c r="B12" i="9"/>
  <c r="F16" i="11"/>
  <c r="E16" i="11"/>
  <c r="F15" i="11"/>
  <c r="E15" i="11"/>
  <c r="E7" i="7"/>
  <c r="E5" i="13" l="1"/>
  <c r="F5" i="13" s="1"/>
  <c r="B6" i="13"/>
  <c r="I21" i="20"/>
  <c r="J21" i="20"/>
  <c r="K21" i="20"/>
  <c r="L21" i="20"/>
  <c r="M21" i="20"/>
  <c r="N21" i="20"/>
  <c r="O21" i="20"/>
  <c r="P21" i="20"/>
  <c r="I17" i="20"/>
  <c r="J17" i="20"/>
  <c r="K17" i="20"/>
  <c r="L17" i="20"/>
  <c r="M17" i="20"/>
  <c r="N17" i="20"/>
  <c r="O17" i="20"/>
  <c r="P17" i="20"/>
  <c r="I13" i="20"/>
  <c r="J13" i="20"/>
  <c r="K13" i="20"/>
  <c r="L13" i="20"/>
  <c r="M13" i="20"/>
  <c r="N13" i="20"/>
  <c r="O13" i="20"/>
  <c r="P13" i="20"/>
  <c r="I9" i="20"/>
  <c r="J9" i="20"/>
  <c r="K9" i="20"/>
  <c r="M9" i="20"/>
  <c r="N9" i="20"/>
  <c r="O9" i="20"/>
  <c r="P9" i="20"/>
  <c r="G116" i="1"/>
  <c r="B109" i="1"/>
  <c r="G109" i="1" s="1"/>
  <c r="B108" i="1"/>
  <c r="G108" i="1" s="1"/>
  <c r="L9" i="21"/>
  <c r="P26" i="20"/>
  <c r="O26" i="20"/>
  <c r="N26" i="20"/>
  <c r="M26" i="20"/>
  <c r="L26" i="20"/>
  <c r="K26" i="20"/>
  <c r="J26" i="20"/>
  <c r="I26" i="20"/>
  <c r="P25" i="20"/>
  <c r="O25" i="20"/>
  <c r="N25" i="20"/>
  <c r="M25" i="20"/>
  <c r="L25" i="20"/>
  <c r="K25" i="20"/>
  <c r="J25" i="20"/>
  <c r="I25" i="20"/>
  <c r="P24" i="20"/>
  <c r="O24" i="20"/>
  <c r="N24" i="20"/>
  <c r="M24" i="20"/>
  <c r="L24" i="20"/>
  <c r="K24" i="20"/>
  <c r="J24" i="20"/>
  <c r="I24" i="20"/>
  <c r="P23" i="20"/>
  <c r="O23" i="20"/>
  <c r="N23" i="20"/>
  <c r="M23" i="20"/>
  <c r="L23" i="20"/>
  <c r="K23" i="20"/>
  <c r="J23" i="20"/>
  <c r="I23" i="20"/>
  <c r="P22" i="20"/>
  <c r="O22" i="20"/>
  <c r="N22" i="20"/>
  <c r="M22" i="20"/>
  <c r="L22" i="20"/>
  <c r="K22" i="20"/>
  <c r="J22" i="20"/>
  <c r="I22" i="20"/>
  <c r="P20" i="20"/>
  <c r="O20" i="20"/>
  <c r="N20" i="20"/>
  <c r="M20" i="20"/>
  <c r="L20" i="20"/>
  <c r="K20" i="20"/>
  <c r="J20" i="20"/>
  <c r="I20" i="20"/>
  <c r="P19" i="20"/>
  <c r="O19" i="20"/>
  <c r="N19" i="20"/>
  <c r="M19" i="20"/>
  <c r="L19" i="20"/>
  <c r="K19" i="20"/>
  <c r="J19" i="20"/>
  <c r="I19" i="20"/>
  <c r="P18" i="20"/>
  <c r="O18" i="20"/>
  <c r="N18" i="20"/>
  <c r="M18" i="20"/>
  <c r="L18" i="20"/>
  <c r="K18" i="20"/>
  <c r="J18" i="20"/>
  <c r="I18" i="20"/>
  <c r="P16" i="20"/>
  <c r="O16" i="20"/>
  <c r="N16" i="20"/>
  <c r="M16" i="20"/>
  <c r="L16" i="20"/>
  <c r="K16" i="20"/>
  <c r="J16" i="20"/>
  <c r="I16" i="20"/>
  <c r="P15" i="20"/>
  <c r="O15" i="20"/>
  <c r="N15" i="20"/>
  <c r="M15" i="20"/>
  <c r="L15" i="20"/>
  <c r="K15" i="20"/>
  <c r="J15" i="20"/>
  <c r="I15" i="20"/>
  <c r="P14" i="20"/>
  <c r="O14" i="20"/>
  <c r="N14" i="20"/>
  <c r="M14" i="20"/>
  <c r="L14" i="20"/>
  <c r="K14" i="20"/>
  <c r="J14" i="20"/>
  <c r="I14" i="20"/>
  <c r="P12" i="20"/>
  <c r="O12" i="20"/>
  <c r="N12" i="20"/>
  <c r="M12" i="20"/>
  <c r="L12" i="20"/>
  <c r="K12" i="20"/>
  <c r="J12" i="20"/>
  <c r="I12" i="20"/>
  <c r="P11" i="20"/>
  <c r="O11" i="20"/>
  <c r="N11" i="20"/>
  <c r="M11" i="20"/>
  <c r="L11" i="20"/>
  <c r="K11" i="20"/>
  <c r="J11" i="20"/>
  <c r="I11" i="20"/>
  <c r="P10" i="20"/>
  <c r="O10" i="20"/>
  <c r="N10" i="20"/>
  <c r="M10" i="20"/>
  <c r="L10" i="20"/>
  <c r="K10" i="20"/>
  <c r="J10" i="20"/>
  <c r="I10" i="20"/>
  <c r="P8" i="20"/>
  <c r="O8" i="20"/>
  <c r="N8" i="20"/>
  <c r="M8" i="20"/>
  <c r="L8" i="20"/>
  <c r="K8" i="20"/>
  <c r="J8" i="20"/>
  <c r="I8" i="20"/>
  <c r="P7" i="20"/>
  <c r="O7" i="20"/>
  <c r="M7" i="20"/>
  <c r="L7" i="20"/>
  <c r="K7" i="20"/>
  <c r="J7" i="20"/>
  <c r="I7" i="20"/>
  <c r="P6" i="20"/>
  <c r="O6" i="20"/>
  <c r="N6" i="20"/>
  <c r="M6" i="20"/>
  <c r="L6" i="20"/>
  <c r="K6" i="20"/>
  <c r="J6" i="20"/>
  <c r="I6" i="20"/>
  <c r="P5" i="20"/>
  <c r="O5" i="20"/>
  <c r="N5" i="20"/>
  <c r="M5" i="20"/>
  <c r="L5" i="20"/>
  <c r="K5" i="20"/>
  <c r="J5" i="20"/>
  <c r="I5" i="20"/>
  <c r="C5" i="20"/>
  <c r="P4" i="20"/>
  <c r="O4" i="20"/>
  <c r="N4" i="20"/>
  <c r="M4" i="20"/>
  <c r="L4" i="20"/>
  <c r="K4" i="20"/>
  <c r="J4" i="20"/>
  <c r="I4" i="20"/>
  <c r="P3" i="20"/>
  <c r="O3" i="20"/>
  <c r="N3" i="20"/>
  <c r="M3" i="20"/>
  <c r="L3" i="20"/>
  <c r="K3" i="20"/>
  <c r="J3" i="20"/>
  <c r="I3" i="20"/>
  <c r="P2" i="20"/>
  <c r="O2" i="20"/>
  <c r="N2" i="20"/>
  <c r="M2" i="20"/>
  <c r="L2" i="20"/>
  <c r="K2" i="20"/>
  <c r="J2" i="20"/>
  <c r="I2" i="20"/>
  <c r="P1" i="20"/>
  <c r="O1" i="20"/>
  <c r="N1" i="20"/>
  <c r="M1" i="20"/>
  <c r="L1" i="20"/>
  <c r="K1" i="20"/>
  <c r="J1" i="20"/>
  <c r="I1" i="20"/>
  <c r="P26" i="25"/>
  <c r="O26" i="25"/>
  <c r="N26" i="25"/>
  <c r="M26" i="25"/>
  <c r="L26" i="25"/>
  <c r="K26" i="25"/>
  <c r="J26" i="25"/>
  <c r="I26" i="25"/>
  <c r="P25" i="25"/>
  <c r="O25" i="25"/>
  <c r="N25" i="25"/>
  <c r="M25" i="25"/>
  <c r="L25" i="25"/>
  <c r="K25" i="25"/>
  <c r="J25" i="25"/>
  <c r="I25" i="25"/>
  <c r="P24" i="25"/>
  <c r="O24" i="25"/>
  <c r="N24" i="25"/>
  <c r="M24" i="25"/>
  <c r="L24" i="25"/>
  <c r="K24" i="25"/>
  <c r="J24" i="25"/>
  <c r="I24" i="25"/>
  <c r="P23" i="25"/>
  <c r="O23" i="25"/>
  <c r="N23" i="25"/>
  <c r="M23" i="25"/>
  <c r="L23" i="25"/>
  <c r="K23" i="25"/>
  <c r="J23" i="25"/>
  <c r="I23" i="25"/>
  <c r="P22" i="25"/>
  <c r="O22" i="25"/>
  <c r="N22" i="25"/>
  <c r="M22" i="25"/>
  <c r="L22" i="25"/>
  <c r="K22" i="25"/>
  <c r="J22" i="25"/>
  <c r="I22" i="25"/>
  <c r="P21" i="25"/>
  <c r="O21" i="25"/>
  <c r="N21" i="25"/>
  <c r="M21" i="25"/>
  <c r="L21" i="25"/>
  <c r="K21" i="25"/>
  <c r="J21" i="25"/>
  <c r="I21" i="25"/>
  <c r="P20" i="25"/>
  <c r="O20" i="25"/>
  <c r="N20" i="25"/>
  <c r="M20" i="25"/>
  <c r="L20" i="25"/>
  <c r="K20" i="25"/>
  <c r="J20" i="25"/>
  <c r="I20" i="25"/>
  <c r="P19" i="25"/>
  <c r="O19" i="25"/>
  <c r="N19" i="25"/>
  <c r="M19" i="25"/>
  <c r="L19" i="25"/>
  <c r="K19" i="25"/>
  <c r="J19" i="25"/>
  <c r="I19" i="25"/>
  <c r="P18" i="25"/>
  <c r="O18" i="25"/>
  <c r="N18" i="25"/>
  <c r="M18" i="25"/>
  <c r="L18" i="25"/>
  <c r="K18" i="25"/>
  <c r="J18" i="25"/>
  <c r="I18" i="25"/>
  <c r="P17" i="25"/>
  <c r="O17" i="25"/>
  <c r="N17" i="25"/>
  <c r="M17" i="25"/>
  <c r="L17" i="25"/>
  <c r="K17" i="25"/>
  <c r="I17" i="25"/>
  <c r="C5" i="25" s="1"/>
  <c r="D5" i="25" s="1"/>
  <c r="P16" i="25"/>
  <c r="O16" i="25"/>
  <c r="N16" i="25"/>
  <c r="M16" i="25"/>
  <c r="L16" i="25"/>
  <c r="K16" i="25"/>
  <c r="J16" i="25"/>
  <c r="I16" i="25"/>
  <c r="P15" i="25"/>
  <c r="O15" i="25"/>
  <c r="N15" i="25"/>
  <c r="M15" i="25"/>
  <c r="L15" i="25"/>
  <c r="K15" i="25"/>
  <c r="J15" i="25"/>
  <c r="I15" i="25"/>
  <c r="P14" i="25"/>
  <c r="O14" i="25"/>
  <c r="N14" i="25"/>
  <c r="M14" i="25"/>
  <c r="L14" i="25"/>
  <c r="K14" i="25"/>
  <c r="J14" i="25"/>
  <c r="I14" i="25"/>
  <c r="P13" i="25"/>
  <c r="O13" i="25"/>
  <c r="N13" i="25"/>
  <c r="M13" i="25"/>
  <c r="L13" i="25"/>
  <c r="K13" i="25"/>
  <c r="J13" i="25"/>
  <c r="I13" i="25"/>
  <c r="P12" i="25"/>
  <c r="O12" i="25"/>
  <c r="N12" i="25"/>
  <c r="M12" i="25"/>
  <c r="L12" i="25"/>
  <c r="K12" i="25"/>
  <c r="J12" i="25"/>
  <c r="I12" i="25"/>
  <c r="P11" i="25"/>
  <c r="O11" i="25"/>
  <c r="N11" i="25"/>
  <c r="M11" i="25"/>
  <c r="L11" i="25"/>
  <c r="K11" i="25"/>
  <c r="J11" i="25"/>
  <c r="I11" i="25"/>
  <c r="P10" i="25"/>
  <c r="O10" i="25"/>
  <c r="N10" i="25"/>
  <c r="M10" i="25"/>
  <c r="L10" i="25"/>
  <c r="K10" i="25"/>
  <c r="J10" i="25"/>
  <c r="I10" i="25"/>
  <c r="P9" i="25"/>
  <c r="O9" i="25"/>
  <c r="N9" i="25"/>
  <c r="M9" i="25"/>
  <c r="K9" i="25"/>
  <c r="J9" i="25"/>
  <c r="I9" i="25"/>
  <c r="P8" i="25"/>
  <c r="O8" i="25"/>
  <c r="N8" i="25"/>
  <c r="M8" i="25"/>
  <c r="L8" i="25"/>
  <c r="K8" i="25"/>
  <c r="J8" i="25"/>
  <c r="I8" i="25"/>
  <c r="P7" i="25"/>
  <c r="O7" i="25"/>
  <c r="N7" i="25"/>
  <c r="M7" i="25"/>
  <c r="L7" i="25"/>
  <c r="K7" i="25"/>
  <c r="J7" i="25"/>
  <c r="I7" i="25"/>
  <c r="P6" i="25"/>
  <c r="O6" i="25"/>
  <c r="N6" i="25"/>
  <c r="M6" i="25"/>
  <c r="L6" i="25"/>
  <c r="K6" i="25"/>
  <c r="J6" i="25"/>
  <c r="I6" i="25"/>
  <c r="P5" i="25"/>
  <c r="O5" i="25"/>
  <c r="N5" i="25"/>
  <c r="M5" i="25"/>
  <c r="L5" i="25"/>
  <c r="K5" i="25"/>
  <c r="J5" i="25"/>
  <c r="I5" i="25"/>
  <c r="P4" i="25"/>
  <c r="O4" i="25"/>
  <c r="N4" i="25"/>
  <c r="M4" i="25"/>
  <c r="L4" i="25"/>
  <c r="K4" i="25"/>
  <c r="J4" i="25"/>
  <c r="I4" i="25"/>
  <c r="P3" i="25"/>
  <c r="O3" i="25"/>
  <c r="N3" i="25"/>
  <c r="M3" i="25"/>
  <c r="L3" i="25"/>
  <c r="K3" i="25"/>
  <c r="J3" i="25"/>
  <c r="I3" i="25"/>
  <c r="P2" i="25"/>
  <c r="O2" i="25"/>
  <c r="N2" i="25"/>
  <c r="M2" i="25"/>
  <c r="L2" i="25"/>
  <c r="K2" i="25"/>
  <c r="J2" i="25"/>
  <c r="I2" i="25"/>
  <c r="P1" i="25"/>
  <c r="O1" i="25"/>
  <c r="N1" i="25"/>
  <c r="M1" i="25"/>
  <c r="L1" i="25"/>
  <c r="K1" i="25"/>
  <c r="J1" i="25"/>
  <c r="I1" i="25"/>
  <c r="I19" i="24"/>
  <c r="C5" i="24" s="1"/>
  <c r="P26" i="24"/>
  <c r="O26" i="24"/>
  <c r="N26" i="24"/>
  <c r="M26" i="24"/>
  <c r="L26" i="24"/>
  <c r="K26" i="24"/>
  <c r="J26" i="24"/>
  <c r="I26" i="24"/>
  <c r="P25" i="24"/>
  <c r="O25" i="24"/>
  <c r="N25" i="24"/>
  <c r="M25" i="24"/>
  <c r="L25" i="24"/>
  <c r="K25" i="24"/>
  <c r="J25" i="24"/>
  <c r="I25" i="24"/>
  <c r="P24" i="24"/>
  <c r="O24" i="24"/>
  <c r="N24" i="24"/>
  <c r="M24" i="24"/>
  <c r="L24" i="24"/>
  <c r="K24" i="24"/>
  <c r="J24" i="24"/>
  <c r="I24" i="24"/>
  <c r="P23" i="24"/>
  <c r="O23" i="24"/>
  <c r="N23" i="24"/>
  <c r="M23" i="24"/>
  <c r="L23" i="24"/>
  <c r="K23" i="24"/>
  <c r="J23" i="24"/>
  <c r="I23" i="24"/>
  <c r="P22" i="24"/>
  <c r="O22" i="24"/>
  <c r="N22" i="24"/>
  <c r="M22" i="24"/>
  <c r="L22" i="24"/>
  <c r="K22" i="24"/>
  <c r="J22" i="24"/>
  <c r="I22" i="24"/>
  <c r="P21" i="24"/>
  <c r="O21" i="24"/>
  <c r="N21" i="24"/>
  <c r="M21" i="24"/>
  <c r="L21" i="24"/>
  <c r="K21" i="24"/>
  <c r="J21" i="24"/>
  <c r="I21" i="24"/>
  <c r="P20" i="24"/>
  <c r="O20" i="24"/>
  <c r="N20" i="24"/>
  <c r="M20" i="24"/>
  <c r="L20" i="24"/>
  <c r="K20" i="24"/>
  <c r="J20" i="24"/>
  <c r="I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I18" i="24"/>
  <c r="P17" i="24"/>
  <c r="O17" i="24"/>
  <c r="N17" i="24"/>
  <c r="M17" i="24"/>
  <c r="L17" i="24"/>
  <c r="K17" i="24"/>
  <c r="J17" i="24"/>
  <c r="I17" i="24"/>
  <c r="P16" i="24"/>
  <c r="O16" i="24"/>
  <c r="N16" i="24"/>
  <c r="M16" i="24"/>
  <c r="L16" i="24"/>
  <c r="K16" i="24"/>
  <c r="J16" i="24"/>
  <c r="I16" i="24"/>
  <c r="P15" i="24"/>
  <c r="O15" i="24"/>
  <c r="N15" i="24"/>
  <c r="M15" i="24"/>
  <c r="L15" i="24"/>
  <c r="K15" i="24"/>
  <c r="J15" i="24"/>
  <c r="I15" i="24"/>
  <c r="P14" i="24"/>
  <c r="O14" i="24"/>
  <c r="N14" i="24"/>
  <c r="M14" i="24"/>
  <c r="L14" i="24"/>
  <c r="K14" i="24"/>
  <c r="J14" i="24"/>
  <c r="I14" i="24"/>
  <c r="P13" i="24"/>
  <c r="O13" i="24"/>
  <c r="N13" i="24"/>
  <c r="M13" i="24"/>
  <c r="L13" i="24"/>
  <c r="K13" i="24"/>
  <c r="J13" i="24"/>
  <c r="I13" i="24"/>
  <c r="P12" i="24"/>
  <c r="O12" i="24"/>
  <c r="N12" i="24"/>
  <c r="M12" i="24"/>
  <c r="L12" i="24"/>
  <c r="K12" i="24"/>
  <c r="J12" i="24"/>
  <c r="I12" i="24"/>
  <c r="P11" i="24"/>
  <c r="O11" i="24"/>
  <c r="N11" i="24"/>
  <c r="M11" i="24"/>
  <c r="L11" i="24"/>
  <c r="K11" i="24"/>
  <c r="J11" i="24"/>
  <c r="I11" i="24"/>
  <c r="P10" i="24"/>
  <c r="O10" i="24"/>
  <c r="N10" i="24"/>
  <c r="M10" i="24"/>
  <c r="L10" i="24"/>
  <c r="K10" i="24"/>
  <c r="J10" i="24"/>
  <c r="I10" i="24"/>
  <c r="P9" i="24"/>
  <c r="O9" i="24"/>
  <c r="N9" i="24"/>
  <c r="M9" i="24"/>
  <c r="K9" i="24"/>
  <c r="J9" i="24"/>
  <c r="I9" i="24"/>
  <c r="P8" i="24"/>
  <c r="O8" i="24"/>
  <c r="N8" i="24"/>
  <c r="M8" i="24"/>
  <c r="L8" i="24"/>
  <c r="K8" i="24"/>
  <c r="J8" i="24"/>
  <c r="I8" i="24"/>
  <c r="P7" i="24"/>
  <c r="O7" i="24"/>
  <c r="M7" i="24"/>
  <c r="L7" i="24"/>
  <c r="K7" i="24"/>
  <c r="J7" i="24"/>
  <c r="I7" i="24"/>
  <c r="P6" i="24"/>
  <c r="O6" i="24"/>
  <c r="N6" i="24"/>
  <c r="M6" i="24"/>
  <c r="L6" i="24"/>
  <c r="K6" i="24"/>
  <c r="J6" i="24"/>
  <c r="I6" i="24"/>
  <c r="P5" i="24"/>
  <c r="O5" i="24"/>
  <c r="N5" i="24"/>
  <c r="M5" i="24"/>
  <c r="L5" i="24"/>
  <c r="K5" i="24"/>
  <c r="J5" i="24"/>
  <c r="I5" i="24"/>
  <c r="P4" i="24"/>
  <c r="O4" i="24"/>
  <c r="N4" i="24"/>
  <c r="M4" i="24"/>
  <c r="L4" i="24"/>
  <c r="K4" i="24"/>
  <c r="J4" i="24"/>
  <c r="I4" i="24"/>
  <c r="P3" i="24"/>
  <c r="O3" i="24"/>
  <c r="N3" i="24"/>
  <c r="M3" i="24"/>
  <c r="L3" i="24"/>
  <c r="K3" i="24"/>
  <c r="J3" i="24"/>
  <c r="I3" i="24"/>
  <c r="P2" i="24"/>
  <c r="O2" i="24"/>
  <c r="N2" i="24"/>
  <c r="M2" i="24"/>
  <c r="L2" i="24"/>
  <c r="K2" i="24"/>
  <c r="J2" i="24"/>
  <c r="I2" i="24"/>
  <c r="P1" i="24"/>
  <c r="O1" i="24"/>
  <c r="N1" i="24"/>
  <c r="M1" i="24"/>
  <c r="L1" i="24"/>
  <c r="K1" i="24"/>
  <c r="J1" i="24"/>
  <c r="I1" i="24"/>
  <c r="L11" i="21"/>
  <c r="P26" i="21"/>
  <c r="O26" i="21"/>
  <c r="N26" i="21"/>
  <c r="M26" i="21"/>
  <c r="L26" i="21"/>
  <c r="K26" i="21"/>
  <c r="J26" i="21"/>
  <c r="I26" i="21"/>
  <c r="P25" i="21"/>
  <c r="O25" i="21"/>
  <c r="N25" i="21"/>
  <c r="M25" i="21"/>
  <c r="L25" i="21"/>
  <c r="K25" i="21"/>
  <c r="J25" i="21"/>
  <c r="I25" i="21"/>
  <c r="P24" i="21"/>
  <c r="O24" i="21"/>
  <c r="N24" i="21"/>
  <c r="M24" i="21"/>
  <c r="L24" i="21"/>
  <c r="K24" i="21"/>
  <c r="J24" i="21"/>
  <c r="I24" i="21"/>
  <c r="P23" i="21"/>
  <c r="O23" i="21"/>
  <c r="N23" i="21"/>
  <c r="M23" i="21"/>
  <c r="L23" i="21"/>
  <c r="K23" i="21"/>
  <c r="J23" i="21"/>
  <c r="I23" i="21"/>
  <c r="P22" i="21"/>
  <c r="O22" i="21"/>
  <c r="N22" i="21"/>
  <c r="M22" i="21"/>
  <c r="L22" i="21"/>
  <c r="K22" i="21"/>
  <c r="J22" i="21"/>
  <c r="I22" i="21"/>
  <c r="P21" i="21"/>
  <c r="O21" i="21"/>
  <c r="N21" i="21"/>
  <c r="M21" i="21"/>
  <c r="L21" i="21"/>
  <c r="K21" i="21"/>
  <c r="J21" i="21"/>
  <c r="I21" i="21"/>
  <c r="P20" i="21"/>
  <c r="O20" i="21"/>
  <c r="N20" i="21"/>
  <c r="M20" i="21"/>
  <c r="L20" i="21"/>
  <c r="K20" i="21"/>
  <c r="J20" i="21"/>
  <c r="I20" i="21"/>
  <c r="P19" i="21"/>
  <c r="O19" i="21"/>
  <c r="N19" i="21"/>
  <c r="M19" i="21"/>
  <c r="L19" i="21"/>
  <c r="K19" i="21"/>
  <c r="J19" i="21"/>
  <c r="I19" i="21"/>
  <c r="P18" i="21"/>
  <c r="O18" i="21"/>
  <c r="N18" i="21"/>
  <c r="M18" i="21"/>
  <c r="L18" i="21"/>
  <c r="K18" i="21"/>
  <c r="J18" i="21"/>
  <c r="I18" i="21"/>
  <c r="P17" i="21"/>
  <c r="O17" i="21"/>
  <c r="N17" i="21"/>
  <c r="M17" i="21"/>
  <c r="L17" i="21"/>
  <c r="K17" i="21"/>
  <c r="J17" i="21"/>
  <c r="I17" i="21"/>
  <c r="P16" i="21"/>
  <c r="O16" i="21"/>
  <c r="N16" i="21"/>
  <c r="M16" i="21"/>
  <c r="L16" i="21"/>
  <c r="K16" i="21"/>
  <c r="J16" i="21"/>
  <c r="I16" i="21"/>
  <c r="P15" i="21"/>
  <c r="O15" i="21"/>
  <c r="N15" i="21"/>
  <c r="M15" i="21"/>
  <c r="L15" i="21"/>
  <c r="K15" i="21"/>
  <c r="J15" i="21"/>
  <c r="I15" i="21"/>
  <c r="P14" i="21"/>
  <c r="O14" i="21"/>
  <c r="N14" i="21"/>
  <c r="M14" i="21"/>
  <c r="L14" i="21"/>
  <c r="K14" i="21"/>
  <c r="J14" i="21"/>
  <c r="I14" i="21"/>
  <c r="P13" i="21"/>
  <c r="O13" i="21"/>
  <c r="N13" i="21"/>
  <c r="M13" i="21"/>
  <c r="L13" i="21"/>
  <c r="K13" i="21"/>
  <c r="J13" i="21"/>
  <c r="I13" i="21"/>
  <c r="P12" i="21"/>
  <c r="O12" i="21"/>
  <c r="N12" i="21"/>
  <c r="M12" i="21"/>
  <c r="L12" i="21"/>
  <c r="K12" i="21"/>
  <c r="J12" i="21"/>
  <c r="I12" i="21"/>
  <c r="P11" i="21"/>
  <c r="O11" i="21"/>
  <c r="N11" i="21"/>
  <c r="M11" i="21"/>
  <c r="K11" i="21"/>
  <c r="J11" i="21"/>
  <c r="I11" i="21"/>
  <c r="P10" i="21"/>
  <c r="O10" i="21"/>
  <c r="N10" i="21"/>
  <c r="M10" i="21"/>
  <c r="L10" i="21"/>
  <c r="K10" i="21"/>
  <c r="J10" i="21"/>
  <c r="I10" i="21"/>
  <c r="P9" i="21"/>
  <c r="O9" i="21"/>
  <c r="N9" i="21"/>
  <c r="M9" i="21"/>
  <c r="K9" i="21"/>
  <c r="J9" i="21"/>
  <c r="I9" i="21"/>
  <c r="C5" i="21" s="1"/>
  <c r="P8" i="21"/>
  <c r="O8" i="21"/>
  <c r="N8" i="21"/>
  <c r="M8" i="21"/>
  <c r="L8" i="21"/>
  <c r="K8" i="21"/>
  <c r="J8" i="21"/>
  <c r="I8" i="21"/>
  <c r="P7" i="21"/>
  <c r="O7" i="21"/>
  <c r="N7" i="21"/>
  <c r="M7" i="21"/>
  <c r="L7" i="21"/>
  <c r="K7" i="21"/>
  <c r="J7" i="21"/>
  <c r="I7" i="21"/>
  <c r="P6" i="21"/>
  <c r="O6" i="21"/>
  <c r="N6" i="21"/>
  <c r="M6" i="21"/>
  <c r="L6" i="21"/>
  <c r="K6" i="21"/>
  <c r="J6" i="21"/>
  <c r="I6" i="21"/>
  <c r="P5" i="21"/>
  <c r="O5" i="21"/>
  <c r="N5" i="21"/>
  <c r="M5" i="21"/>
  <c r="L5" i="21"/>
  <c r="K5" i="21"/>
  <c r="J5" i="21"/>
  <c r="I5" i="21"/>
  <c r="P4" i="21"/>
  <c r="O4" i="21"/>
  <c r="N4" i="21"/>
  <c r="M4" i="21"/>
  <c r="L4" i="21"/>
  <c r="K4" i="21"/>
  <c r="J4" i="21"/>
  <c r="I4" i="21"/>
  <c r="P3" i="21"/>
  <c r="O3" i="21"/>
  <c r="N3" i="21"/>
  <c r="M3" i="21"/>
  <c r="L3" i="21"/>
  <c r="K3" i="21"/>
  <c r="J3" i="21"/>
  <c r="I3" i="21"/>
  <c r="P2" i="21"/>
  <c r="O2" i="21"/>
  <c r="N2" i="21"/>
  <c r="M2" i="21"/>
  <c r="L2" i="21"/>
  <c r="K2" i="21"/>
  <c r="J2" i="21"/>
  <c r="I2" i="21"/>
  <c r="P1" i="21"/>
  <c r="O1" i="21"/>
  <c r="N1" i="21"/>
  <c r="M1" i="21"/>
  <c r="L1" i="21"/>
  <c r="K1" i="21"/>
  <c r="J1" i="21"/>
  <c r="I1" i="21"/>
  <c r="P1" i="17"/>
  <c r="Q1" i="17"/>
  <c r="R1" i="17"/>
  <c r="S1" i="17"/>
  <c r="P2" i="17"/>
  <c r="Q2" i="17"/>
  <c r="R2" i="17"/>
  <c r="S2" i="17"/>
  <c r="P3" i="17"/>
  <c r="Q3" i="17"/>
  <c r="R3" i="17"/>
  <c r="S3" i="17"/>
  <c r="P4" i="17"/>
  <c r="Q4" i="17"/>
  <c r="R4" i="17"/>
  <c r="S4" i="17"/>
  <c r="H1" i="17"/>
  <c r="I1" i="17"/>
  <c r="J1" i="17"/>
  <c r="L1" i="17"/>
  <c r="M1" i="17"/>
  <c r="N1" i="17"/>
  <c r="U1" i="17"/>
  <c r="V1" i="17"/>
  <c r="W1" i="17"/>
  <c r="H2" i="17"/>
  <c r="I2" i="17"/>
  <c r="J2" i="17"/>
  <c r="L2" i="17"/>
  <c r="M2" i="17"/>
  <c r="N2" i="17"/>
  <c r="U2" i="17"/>
  <c r="V2" i="17"/>
  <c r="W2" i="17"/>
  <c r="P5" i="17"/>
  <c r="Q5" i="17"/>
  <c r="R5" i="17"/>
  <c r="S5" i="17"/>
  <c r="P6" i="17"/>
  <c r="C5" i="17" s="1"/>
  <c r="Q6" i="17"/>
  <c r="R6" i="17"/>
  <c r="S6" i="17"/>
  <c r="AA2" i="9"/>
  <c r="P2" i="11"/>
  <c r="Q2" i="11"/>
  <c r="R2" i="11"/>
  <c r="S2" i="11"/>
  <c r="P3" i="11"/>
  <c r="Q3" i="11"/>
  <c r="R3" i="11"/>
  <c r="S3" i="11"/>
  <c r="P4" i="11"/>
  <c r="Q4" i="11"/>
  <c r="R4" i="11"/>
  <c r="S4" i="11"/>
  <c r="P5" i="11"/>
  <c r="Q5" i="11"/>
  <c r="R5" i="11"/>
  <c r="S5" i="11"/>
  <c r="P6" i="11"/>
  <c r="Q6" i="11"/>
  <c r="R6" i="11"/>
  <c r="S6" i="11"/>
  <c r="Q1" i="11"/>
  <c r="R1" i="11"/>
  <c r="S1" i="11"/>
  <c r="P1" i="11"/>
  <c r="W2" i="11"/>
  <c r="V2" i="11"/>
  <c r="U2" i="11"/>
  <c r="N2" i="11"/>
  <c r="M2" i="11"/>
  <c r="L2" i="11"/>
  <c r="J2" i="11"/>
  <c r="I2" i="11"/>
  <c r="H2" i="11"/>
  <c r="W1" i="11"/>
  <c r="V1" i="11"/>
  <c r="U1" i="11"/>
  <c r="N1" i="11"/>
  <c r="M1" i="11"/>
  <c r="L1" i="11"/>
  <c r="J1" i="11"/>
  <c r="I1" i="11"/>
  <c r="H1" i="11"/>
  <c r="AB2" i="13"/>
  <c r="AA2" i="13"/>
  <c r="Z2" i="13"/>
  <c r="Y2" i="13"/>
  <c r="W2" i="13"/>
  <c r="V2" i="13"/>
  <c r="U2" i="13"/>
  <c r="S2" i="13"/>
  <c r="R2" i="13"/>
  <c r="Q2" i="13"/>
  <c r="P2" i="13"/>
  <c r="N2" i="13"/>
  <c r="M2" i="13"/>
  <c r="L2" i="13"/>
  <c r="J2" i="13"/>
  <c r="I2" i="13"/>
  <c r="H2" i="13"/>
  <c r="AB1" i="13"/>
  <c r="AA1" i="13"/>
  <c r="Z1" i="13"/>
  <c r="Y1" i="13"/>
  <c r="W1" i="13"/>
  <c r="V1" i="13"/>
  <c r="U1" i="13"/>
  <c r="S1" i="13"/>
  <c r="R1" i="13"/>
  <c r="Q1" i="13"/>
  <c r="P1" i="13"/>
  <c r="N1" i="13"/>
  <c r="M1" i="13"/>
  <c r="L1" i="13"/>
  <c r="J1" i="13"/>
  <c r="I1" i="13"/>
  <c r="H1" i="13"/>
  <c r="Y2" i="9"/>
  <c r="Z2" i="9"/>
  <c r="AB2" i="9"/>
  <c r="Z1" i="9"/>
  <c r="AA1" i="9"/>
  <c r="AB1" i="9"/>
  <c r="Y1" i="9"/>
  <c r="U2" i="9"/>
  <c r="V2" i="9"/>
  <c r="W2" i="9"/>
  <c r="V1" i="9"/>
  <c r="W1" i="9"/>
  <c r="U1" i="9"/>
  <c r="P2" i="9"/>
  <c r="C5" i="9" s="1"/>
  <c r="Q2" i="9"/>
  <c r="R2" i="9"/>
  <c r="S2" i="9"/>
  <c r="Q1" i="9"/>
  <c r="R1" i="9"/>
  <c r="S1" i="9"/>
  <c r="P1" i="9"/>
  <c r="N2" i="9"/>
  <c r="M2" i="9"/>
  <c r="L2" i="9"/>
  <c r="J2" i="9"/>
  <c r="I2" i="9"/>
  <c r="H2" i="9"/>
  <c r="N1" i="9"/>
  <c r="M1" i="9"/>
  <c r="L1" i="9"/>
  <c r="J1" i="9"/>
  <c r="I1" i="9"/>
  <c r="H1" i="9"/>
  <c r="AB2" i="4"/>
  <c r="AA2" i="4"/>
  <c r="Z2" i="4"/>
  <c r="Y2" i="4"/>
  <c r="W2" i="4"/>
  <c r="V2" i="4"/>
  <c r="U2" i="4"/>
  <c r="S2" i="4"/>
  <c r="R2" i="4"/>
  <c r="Q2" i="4"/>
  <c r="P2" i="4"/>
  <c r="N2" i="4"/>
  <c r="M2" i="4"/>
  <c r="L2" i="4"/>
  <c r="J2" i="4"/>
  <c r="I2" i="4"/>
  <c r="H2" i="4"/>
  <c r="AB1" i="4"/>
  <c r="AA1" i="4"/>
  <c r="Z1" i="4"/>
  <c r="Y1" i="4"/>
  <c r="W1" i="4"/>
  <c r="V1" i="4"/>
  <c r="U1" i="4"/>
  <c r="S1" i="4"/>
  <c r="R1" i="4"/>
  <c r="Q1" i="4"/>
  <c r="P1" i="4"/>
  <c r="N1" i="4"/>
  <c r="M1" i="4"/>
  <c r="L1" i="4"/>
  <c r="J1" i="4"/>
  <c r="I1" i="4"/>
  <c r="H1" i="4"/>
  <c r="Y2" i="3"/>
  <c r="Z2" i="3"/>
  <c r="AA2" i="3"/>
  <c r="AB2" i="3"/>
  <c r="Z1" i="3"/>
  <c r="AA1" i="3"/>
  <c r="AB1" i="3"/>
  <c r="Y1" i="3"/>
  <c r="U2" i="3"/>
  <c r="V2" i="3"/>
  <c r="W2" i="3"/>
  <c r="V1" i="3"/>
  <c r="W1" i="3"/>
  <c r="U1" i="3"/>
  <c r="P2" i="3"/>
  <c r="Q2" i="3"/>
  <c r="R2" i="3"/>
  <c r="S2" i="3"/>
  <c r="Q1" i="3"/>
  <c r="R1" i="3"/>
  <c r="S1" i="3"/>
  <c r="P1" i="3"/>
  <c r="L2" i="3"/>
  <c r="M2" i="3"/>
  <c r="N2" i="3"/>
  <c r="M1" i="3"/>
  <c r="N1" i="3"/>
  <c r="L1" i="3"/>
  <c r="H2" i="3"/>
  <c r="I2" i="3"/>
  <c r="J2" i="3"/>
  <c r="I1" i="3"/>
  <c r="J1" i="3"/>
  <c r="H1" i="3"/>
  <c r="AB2" i="19"/>
  <c r="AA2" i="19"/>
  <c r="Z2" i="19"/>
  <c r="Y2" i="19"/>
  <c r="AB1" i="19"/>
  <c r="AA1" i="19"/>
  <c r="Z1" i="19"/>
  <c r="Y1" i="19"/>
  <c r="S2" i="19"/>
  <c r="R2" i="19"/>
  <c r="Q2" i="19"/>
  <c r="P2" i="19"/>
  <c r="S1" i="19"/>
  <c r="R1" i="19"/>
  <c r="Q1" i="19"/>
  <c r="P1" i="19"/>
  <c r="Z1" i="7"/>
  <c r="AA1" i="7"/>
  <c r="AB1" i="7"/>
  <c r="Z2" i="7"/>
  <c r="AA2" i="7"/>
  <c r="AB2" i="7"/>
  <c r="Y2" i="7"/>
  <c r="Y1" i="7"/>
  <c r="P2" i="7"/>
  <c r="Q2" i="7"/>
  <c r="R2" i="7"/>
  <c r="S2" i="7"/>
  <c r="Q1" i="7"/>
  <c r="R1" i="7"/>
  <c r="S1" i="7"/>
  <c r="P1" i="7"/>
  <c r="B7" i="13"/>
  <c r="C6" i="13"/>
  <c r="B6" i="9"/>
  <c r="B9" i="14"/>
  <c r="B10" i="14"/>
  <c r="B11" i="14"/>
  <c r="B13" i="14"/>
  <c r="B14" i="14"/>
  <c r="B15" i="14"/>
  <c r="B17" i="14"/>
  <c r="B18" i="14"/>
  <c r="B19" i="14"/>
  <c r="B21" i="14"/>
  <c r="B22" i="14"/>
  <c r="B2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A13" i="12"/>
  <c r="B13" i="12"/>
  <c r="A14" i="12"/>
  <c r="B14" i="12"/>
  <c r="A15" i="12"/>
  <c r="B15" i="12"/>
  <c r="A16" i="12"/>
  <c r="A17" i="12"/>
  <c r="B17" i="12"/>
  <c r="A18" i="12"/>
  <c r="B18" i="12"/>
  <c r="A19" i="12"/>
  <c r="B19" i="12"/>
  <c r="A20" i="12"/>
  <c r="A21" i="12"/>
  <c r="B21" i="12"/>
  <c r="A22" i="12"/>
  <c r="B22" i="12"/>
  <c r="A23" i="12"/>
  <c r="B23" i="12"/>
  <c r="A24" i="12"/>
  <c r="B24" i="12"/>
  <c r="C24" i="12"/>
  <c r="A25" i="12"/>
  <c r="B25" i="12"/>
  <c r="A26" i="12"/>
  <c r="B26" i="12"/>
  <c r="A27" i="12"/>
  <c r="B27" i="12"/>
  <c r="A28" i="12"/>
  <c r="A29" i="12"/>
  <c r="A30" i="12"/>
  <c r="A31" i="12"/>
  <c r="A32" i="12"/>
  <c r="A33" i="12"/>
  <c r="A34" i="12"/>
  <c r="A35" i="12"/>
  <c r="B35" i="12"/>
  <c r="C35" i="12"/>
  <c r="D35" i="12"/>
  <c r="E35" i="12"/>
  <c r="F35" i="12"/>
  <c r="A36" i="12"/>
  <c r="B36" i="12"/>
  <c r="C36" i="12"/>
  <c r="D36" i="12"/>
  <c r="E36" i="12"/>
  <c r="F36" i="12"/>
  <c r="A37" i="12"/>
  <c r="B37" i="12"/>
  <c r="C37" i="12"/>
  <c r="D37" i="12"/>
  <c r="E37" i="12"/>
  <c r="F37" i="12"/>
  <c r="A38" i="12"/>
  <c r="B38" i="12"/>
  <c r="C38" i="12"/>
  <c r="D38" i="12"/>
  <c r="E38" i="12"/>
  <c r="F38" i="12"/>
  <c r="B5" i="12"/>
  <c r="E108" i="1" l="1"/>
  <c r="E109" i="1"/>
  <c r="D6" i="13"/>
  <c r="E6" i="13" s="1"/>
  <c r="F6" i="13" s="1"/>
  <c r="D5" i="9"/>
  <c r="E5" i="9" s="1"/>
  <c r="F5" i="9" s="1"/>
  <c r="D5" i="24"/>
  <c r="E5" i="24" s="1"/>
  <c r="F5" i="24" s="1"/>
  <c r="D5" i="21"/>
  <c r="C6" i="21" s="1"/>
  <c r="D6" i="21" s="1"/>
  <c r="E6" i="21" s="1"/>
  <c r="E11" i="21" s="1"/>
  <c r="F11" i="21" s="1"/>
  <c r="E12" i="21" s="1"/>
  <c r="F12" i="21" s="1"/>
  <c r="E13" i="21" s="1"/>
  <c r="F13" i="21" s="1"/>
  <c r="E14" i="21" s="1"/>
  <c r="F14" i="21" s="1"/>
  <c r="D5" i="20"/>
  <c r="B6" i="20" s="1"/>
  <c r="C6" i="20" s="1"/>
  <c r="D6" i="20" s="1"/>
  <c r="E6" i="20" s="1"/>
  <c r="C6" i="25"/>
  <c r="D6" i="25" s="1"/>
  <c r="E6" i="25" s="1"/>
  <c r="E11" i="25" s="1"/>
  <c r="F11" i="25" s="1"/>
  <c r="E12" i="25" s="1"/>
  <c r="E5" i="25"/>
  <c r="E7" i="25" s="1"/>
  <c r="F7" i="25" s="1"/>
  <c r="E8" i="25" s="1"/>
  <c r="C9" i="11"/>
  <c r="D9" i="11" s="1"/>
  <c r="C7" i="13"/>
  <c r="D7" i="13" s="1"/>
  <c r="E7" i="13" s="1"/>
  <c r="F7" i="13" s="1"/>
  <c r="C6" i="9"/>
  <c r="D6" i="9" s="1"/>
  <c r="E6" i="9" s="1"/>
  <c r="F6" i="9" s="1"/>
  <c r="D5" i="17"/>
  <c r="B6" i="17" s="1"/>
  <c r="C6" i="17" s="1"/>
  <c r="D6" i="17" s="1"/>
  <c r="B7" i="17" s="1"/>
  <c r="C7" i="17" s="1"/>
  <c r="D7" i="17" s="1"/>
  <c r="E7" i="17" s="1"/>
  <c r="F7" i="17" s="1"/>
  <c r="C13" i="11"/>
  <c r="D13" i="11" s="1"/>
  <c r="B7" i="9"/>
  <c r="B6" i="24" l="1"/>
  <c r="C6" i="24" s="1"/>
  <c r="D6" i="24" s="1"/>
  <c r="E6" i="24" s="1"/>
  <c r="F6" i="24" s="1"/>
  <c r="C7" i="24" s="1"/>
  <c r="E5" i="21"/>
  <c r="E7" i="21" s="1"/>
  <c r="E15" i="21" s="1"/>
  <c r="B8" i="13"/>
  <c r="E5" i="20"/>
  <c r="F8" i="25"/>
  <c r="E9" i="25" s="1"/>
  <c r="F9" i="25" s="1"/>
  <c r="E10" i="25" s="1"/>
  <c r="F10" i="25" s="1"/>
  <c r="F12" i="25"/>
  <c r="E13" i="25" s="1"/>
  <c r="F13" i="25" s="1"/>
  <c r="E14" i="25" s="1"/>
  <c r="F14" i="25" s="1"/>
  <c r="F6" i="20"/>
  <c r="E5" i="17"/>
  <c r="F5" i="17" s="1"/>
  <c r="E6" i="17"/>
  <c r="F6" i="17" s="1"/>
  <c r="B8" i="17"/>
  <c r="C8" i="17" s="1"/>
  <c r="D8" i="17" s="1"/>
  <c r="B14" i="11"/>
  <c r="C14" i="11" s="1"/>
  <c r="D14" i="11" s="1"/>
  <c r="E14" i="11" s="1"/>
  <c r="F14" i="11" s="1"/>
  <c r="E13" i="11"/>
  <c r="F13" i="11" s="1"/>
  <c r="B10" i="11"/>
  <c r="C10" i="11" s="1"/>
  <c r="D10" i="11" s="1"/>
  <c r="E9" i="11"/>
  <c r="F9" i="11" s="1"/>
  <c r="B8" i="9"/>
  <c r="C7" i="9"/>
  <c r="D7" i="9" s="1"/>
  <c r="E7" i="9" s="1"/>
  <c r="F7" i="9" s="1"/>
  <c r="A2" i="14"/>
  <c r="B2" i="14"/>
  <c r="C2" i="14"/>
  <c r="D2" i="14"/>
  <c r="E2" i="14"/>
  <c r="F2" i="14"/>
  <c r="A3" i="14"/>
  <c r="B3" i="14"/>
  <c r="C3" i="14"/>
  <c r="D3" i="14"/>
  <c r="E3" i="14"/>
  <c r="F3" i="14"/>
  <c r="A4" i="14"/>
  <c r="B4" i="14"/>
  <c r="C4" i="14"/>
  <c r="D4" i="14"/>
  <c r="E4" i="14"/>
  <c r="F4" i="14"/>
  <c r="A5" i="14"/>
  <c r="B1" i="14"/>
  <c r="C1" i="14"/>
  <c r="D1" i="14"/>
  <c r="E1" i="14"/>
  <c r="F1" i="14"/>
  <c r="A1" i="14"/>
  <c r="B1" i="12"/>
  <c r="B2" i="12"/>
  <c r="B3" i="12"/>
  <c r="B4" i="12"/>
  <c r="C4" i="12"/>
  <c r="D4" i="12"/>
  <c r="E4" i="12"/>
  <c r="F4" i="12"/>
  <c r="A2" i="12"/>
  <c r="A3" i="12"/>
  <c r="A4" i="12"/>
  <c r="A5" i="12"/>
  <c r="A1" i="12"/>
  <c r="B22" i="24" l="1"/>
  <c r="C22" i="24" s="1"/>
  <c r="D22" i="24" s="1"/>
  <c r="E22" i="24" s="1"/>
  <c r="F22" i="24" s="1"/>
  <c r="F5" i="20"/>
  <c r="C7" i="20"/>
  <c r="D7" i="20" s="1"/>
  <c r="E7" i="20" s="1"/>
  <c r="F7" i="20" s="1"/>
  <c r="C8" i="20" s="1"/>
  <c r="D8" i="20" s="1"/>
  <c r="E8" i="20" s="1"/>
  <c r="F8" i="20" s="1"/>
  <c r="F7" i="21"/>
  <c r="D7" i="24"/>
  <c r="E7" i="24" s="1"/>
  <c r="F7" i="24" s="1"/>
  <c r="C8" i="24" s="1"/>
  <c r="E19" i="21"/>
  <c r="B9" i="17"/>
  <c r="C9" i="17" s="1"/>
  <c r="D9" i="17" s="1"/>
  <c r="E8" i="17"/>
  <c r="F8" i="17" s="1"/>
  <c r="C8" i="13"/>
  <c r="D8" i="13" s="1"/>
  <c r="E10" i="11"/>
  <c r="F10" i="11" s="1"/>
  <c r="B11" i="11"/>
  <c r="C11" i="11" s="1"/>
  <c r="D11" i="11" s="1"/>
  <c r="E11" i="11" s="1"/>
  <c r="F11" i="11" s="1"/>
  <c r="C8" i="9"/>
  <c r="D8" i="9" s="1"/>
  <c r="E8" i="9" s="1"/>
  <c r="B25" i="9"/>
  <c r="E52" i="1"/>
  <c r="E57" i="1"/>
  <c r="E56" i="1"/>
  <c r="E51" i="1"/>
  <c r="E50" i="1"/>
  <c r="E46" i="1"/>
  <c r="E45" i="1"/>
  <c r="E41" i="1"/>
  <c r="E40" i="1"/>
  <c r="T29" i="1"/>
  <c r="T28" i="1"/>
  <c r="T27" i="1"/>
  <c r="T26" i="1"/>
  <c r="T25" i="1"/>
  <c r="T21" i="1"/>
  <c r="T20" i="1"/>
  <c r="T19" i="1"/>
  <c r="T18" i="1"/>
  <c r="T17" i="1"/>
  <c r="T11" i="1"/>
  <c r="T12" i="1"/>
  <c r="T13" i="1"/>
  <c r="T14" i="1"/>
  <c r="T10" i="1"/>
  <c r="E35" i="1"/>
  <c r="E34" i="1"/>
  <c r="E33" i="1"/>
  <c r="E32" i="1"/>
  <c r="E28" i="1"/>
  <c r="E27" i="1"/>
  <c r="E26" i="1"/>
  <c r="E25" i="1"/>
  <c r="E13" i="1"/>
  <c r="E12" i="1"/>
  <c r="E11" i="1"/>
  <c r="E10" i="1"/>
  <c r="E18" i="1"/>
  <c r="E19" i="1"/>
  <c r="E20" i="1"/>
  <c r="E17" i="1"/>
  <c r="C5" i="7"/>
  <c r="D5" i="7" s="1"/>
  <c r="B6" i="3"/>
  <c r="C5" i="3"/>
  <c r="C5" i="12" s="1"/>
  <c r="E42" i="1" l="1"/>
  <c r="U25" i="1"/>
  <c r="E53" i="1"/>
  <c r="E58" i="1"/>
  <c r="E47" i="1"/>
  <c r="U27" i="1"/>
  <c r="B9" i="20"/>
  <c r="B18" i="20" s="1"/>
  <c r="C18" i="20" s="1"/>
  <c r="D18" i="20" s="1"/>
  <c r="E18" i="20" s="1"/>
  <c r="F15" i="21"/>
  <c r="E8" i="21"/>
  <c r="D8" i="24"/>
  <c r="E8" i="24" s="1"/>
  <c r="F8" i="24" s="1"/>
  <c r="C9" i="24" s="1"/>
  <c r="D9" i="24" s="1"/>
  <c r="E9" i="24" s="1"/>
  <c r="F9" i="24" s="1"/>
  <c r="F19" i="21"/>
  <c r="E20" i="21"/>
  <c r="E9" i="17"/>
  <c r="F9" i="17" s="1"/>
  <c r="E8" i="13"/>
  <c r="F8" i="13" s="1"/>
  <c r="C9" i="13"/>
  <c r="D9" i="13" s="1"/>
  <c r="B12" i="11"/>
  <c r="C12" i="11" s="1"/>
  <c r="D12" i="11" s="1"/>
  <c r="E12" i="11" s="1"/>
  <c r="F12" i="11" s="1"/>
  <c r="C25" i="9"/>
  <c r="D25" i="9" s="1"/>
  <c r="E25" i="9" s="1"/>
  <c r="F25" i="9" s="1"/>
  <c r="B26" i="9"/>
  <c r="C9" i="9"/>
  <c r="D9" i="9" s="1"/>
  <c r="E9" i="9" s="1"/>
  <c r="F9" i="9" s="1"/>
  <c r="C10" i="9" s="1"/>
  <c r="D10" i="9" s="1"/>
  <c r="E10" i="9" s="1"/>
  <c r="F10" i="9" s="1"/>
  <c r="C11" i="9" s="1"/>
  <c r="D11" i="9" s="1"/>
  <c r="E11" i="9" s="1"/>
  <c r="F11" i="9" s="1"/>
  <c r="F8" i="9"/>
  <c r="D5" i="3"/>
  <c r="D5" i="12" s="1"/>
  <c r="B7" i="3"/>
  <c r="B6" i="7"/>
  <c r="C6" i="7" s="1"/>
  <c r="D6" i="7" s="1"/>
  <c r="B7" i="7" s="1"/>
  <c r="C7" i="7" s="1"/>
  <c r="D7" i="7" s="1"/>
  <c r="E5" i="7"/>
  <c r="B8" i="3"/>
  <c r="C6" i="3"/>
  <c r="C6" i="12" s="1"/>
  <c r="C10" i="24" l="1"/>
  <c r="D10" i="24" s="1"/>
  <c r="E10" i="24" s="1"/>
  <c r="F10" i="24" s="1"/>
  <c r="C11" i="24" s="1"/>
  <c r="D11" i="24" s="1"/>
  <c r="E11" i="24" s="1"/>
  <c r="F11" i="24" s="1"/>
  <c r="C12" i="24" s="1"/>
  <c r="D12" i="24" s="1"/>
  <c r="E12" i="24" s="1"/>
  <c r="F12" i="24" s="1"/>
  <c r="C13" i="24" s="1"/>
  <c r="D13" i="24" s="1"/>
  <c r="E13" i="24" s="1"/>
  <c r="F13" i="24" s="1"/>
  <c r="C9" i="20"/>
  <c r="D9" i="20" s="1"/>
  <c r="E9" i="20" s="1"/>
  <c r="F9" i="20" s="1"/>
  <c r="E16" i="21"/>
  <c r="F8" i="21"/>
  <c r="F18" i="20"/>
  <c r="F20" i="21"/>
  <c r="E21" i="21"/>
  <c r="E22" i="21"/>
  <c r="E9" i="13"/>
  <c r="B26" i="13"/>
  <c r="C5" i="19"/>
  <c r="D5" i="19" s="1"/>
  <c r="C5" i="11"/>
  <c r="D5" i="11" s="1"/>
  <c r="B27" i="9"/>
  <c r="C27" i="9" s="1"/>
  <c r="D27" i="9" s="1"/>
  <c r="B31" i="9" s="1"/>
  <c r="C26" i="9"/>
  <c r="D26" i="9" s="1"/>
  <c r="E26" i="9" s="1"/>
  <c r="F26" i="9" s="1"/>
  <c r="D6" i="3"/>
  <c r="D6" i="12" s="1"/>
  <c r="C7" i="3"/>
  <c r="C7" i="12" s="1"/>
  <c r="E5" i="3"/>
  <c r="E5" i="12" s="1"/>
  <c r="F5" i="7"/>
  <c r="F7" i="7"/>
  <c r="B8" i="7"/>
  <c r="C8" i="7" s="1"/>
  <c r="D8" i="7" s="1"/>
  <c r="E6" i="7"/>
  <c r="C8" i="3"/>
  <c r="C8" i="12" s="1"/>
  <c r="B25" i="3"/>
  <c r="F16" i="21" l="1"/>
  <c r="E9" i="21"/>
  <c r="C10" i="20"/>
  <c r="D10" i="20" s="1"/>
  <c r="E10" i="20" s="1"/>
  <c r="F10" i="20" s="1"/>
  <c r="C11" i="20" s="1"/>
  <c r="D11" i="20" s="1"/>
  <c r="E11" i="20" s="1"/>
  <c r="F11" i="20" s="1"/>
  <c r="F21" i="21"/>
  <c r="F22" i="21"/>
  <c r="B27" i="13"/>
  <c r="C26" i="13"/>
  <c r="D26" i="13" s="1"/>
  <c r="E26" i="13" s="1"/>
  <c r="F26" i="13" s="1"/>
  <c r="F9" i="13"/>
  <c r="C10" i="13"/>
  <c r="D10" i="13" s="1"/>
  <c r="E10" i="13" s="1"/>
  <c r="F10" i="13" s="1"/>
  <c r="C11" i="13" s="1"/>
  <c r="D11" i="13" s="1"/>
  <c r="E11" i="13" s="1"/>
  <c r="F11" i="13" s="1"/>
  <c r="C12" i="13" s="1"/>
  <c r="D12" i="13" s="1"/>
  <c r="E12" i="13" s="1"/>
  <c r="F12" i="13" s="1"/>
  <c r="E5" i="19"/>
  <c r="F5" i="19" s="1"/>
  <c r="B6" i="19"/>
  <c r="C6" i="19" s="1"/>
  <c r="D6" i="19" s="1"/>
  <c r="E6" i="19" s="1"/>
  <c r="B6" i="11"/>
  <c r="C6" i="11" s="1"/>
  <c r="D6" i="11" s="1"/>
  <c r="E6" i="11" s="1"/>
  <c r="E5" i="11"/>
  <c r="F5" i="11" s="1"/>
  <c r="E27" i="9"/>
  <c r="F27" i="9" s="1"/>
  <c r="D7" i="3"/>
  <c r="D7" i="12" s="1"/>
  <c r="F5" i="3"/>
  <c r="F5" i="12" s="1"/>
  <c r="D8" i="3"/>
  <c r="D8" i="12" s="1"/>
  <c r="E6" i="3"/>
  <c r="E6" i="12" s="1"/>
  <c r="F6" i="7"/>
  <c r="E8" i="7"/>
  <c r="B9" i="7"/>
  <c r="C9" i="7" s="1"/>
  <c r="D9" i="7" s="1"/>
  <c r="B26" i="3"/>
  <c r="C25" i="3"/>
  <c r="C25" i="12" s="1"/>
  <c r="B12" i="20" l="1"/>
  <c r="C12" i="20" s="1"/>
  <c r="D12" i="20" s="1"/>
  <c r="E12" i="20" s="1"/>
  <c r="F9" i="21"/>
  <c r="E17" i="21"/>
  <c r="F6" i="19"/>
  <c r="B28" i="13"/>
  <c r="C28" i="13" s="1"/>
  <c r="D28" i="13" s="1"/>
  <c r="B32" i="13" s="1"/>
  <c r="C27" i="13"/>
  <c r="D27" i="13" s="1"/>
  <c r="E27" i="13" s="1"/>
  <c r="F27" i="13" s="1"/>
  <c r="B7" i="11"/>
  <c r="C7" i="11" s="1"/>
  <c r="D7" i="11" s="1"/>
  <c r="E8" i="3"/>
  <c r="E8" i="12" s="1"/>
  <c r="F6" i="3"/>
  <c r="F6" i="12" s="1"/>
  <c r="D25" i="3"/>
  <c r="D25" i="12" s="1"/>
  <c r="E7" i="3"/>
  <c r="E7" i="12" s="1"/>
  <c r="F8" i="7"/>
  <c r="E9" i="7"/>
  <c r="C26" i="3"/>
  <c r="C26" i="12" s="1"/>
  <c r="B27" i="3"/>
  <c r="C14" i="24" l="1"/>
  <c r="D14" i="24" s="1"/>
  <c r="E14" i="24" s="1"/>
  <c r="F14" i="24" s="1"/>
  <c r="C15" i="24" s="1"/>
  <c r="D15" i="24" s="1"/>
  <c r="E15" i="24" s="1"/>
  <c r="F15" i="24" s="1"/>
  <c r="C16" i="24" s="1"/>
  <c r="D16" i="24" s="1"/>
  <c r="E16" i="24" s="1"/>
  <c r="F16" i="24" s="1"/>
  <c r="C17" i="24" s="1"/>
  <c r="D17" i="24" s="1"/>
  <c r="E17" i="24" s="1"/>
  <c r="F17" i="24" s="1"/>
  <c r="B19" i="20"/>
  <c r="C19" i="20" s="1"/>
  <c r="D19" i="20" s="1"/>
  <c r="E19" i="20" s="1"/>
  <c r="F19" i="20" s="1"/>
  <c r="E10" i="21"/>
  <c r="F10" i="21" s="1"/>
  <c r="F17" i="21"/>
  <c r="F12" i="20"/>
  <c r="E7" i="11"/>
  <c r="F7" i="11" s="1"/>
  <c r="B8" i="11"/>
  <c r="C8" i="11" s="1"/>
  <c r="D8" i="11" s="1"/>
  <c r="E8" i="11" s="1"/>
  <c r="F8" i="11" s="1"/>
  <c r="E28" i="13"/>
  <c r="F28" i="13" s="1"/>
  <c r="F6" i="11"/>
  <c r="E25" i="3"/>
  <c r="E25" i="12" s="1"/>
  <c r="D26" i="3"/>
  <c r="D26" i="12" s="1"/>
  <c r="F8" i="3"/>
  <c r="F7" i="3"/>
  <c r="F7" i="12" s="1"/>
  <c r="C27" i="3"/>
  <c r="C27" i="12" s="1"/>
  <c r="F9" i="7"/>
  <c r="F8" i="12" l="1"/>
  <c r="C9" i="3"/>
  <c r="C9" i="12" s="1"/>
  <c r="B23" i="24"/>
  <c r="C23" i="24" s="1"/>
  <c r="D23" i="24" s="1"/>
  <c r="E23" i="24" s="1"/>
  <c r="F23" i="24" s="1"/>
  <c r="F18" i="21"/>
  <c r="E18" i="21"/>
  <c r="C13" i="20"/>
  <c r="D13" i="20" s="1"/>
  <c r="E13" i="20" s="1"/>
  <c r="F13" i="20" s="1"/>
  <c r="C14" i="20" s="1"/>
  <c r="D14" i="20" s="1"/>
  <c r="E14" i="20" s="1"/>
  <c r="F14" i="20" s="1"/>
  <c r="C7" i="19"/>
  <c r="D7" i="19" s="1"/>
  <c r="E7" i="19" s="1"/>
  <c r="E26" i="3"/>
  <c r="E26" i="12" s="1"/>
  <c r="D27" i="3"/>
  <c r="D9" i="3"/>
  <c r="D9" i="12" s="1"/>
  <c r="F25" i="3"/>
  <c r="F25" i="12" s="1"/>
  <c r="B15" i="20" l="1"/>
  <c r="D27" i="12"/>
  <c r="B31" i="3"/>
  <c r="F7" i="19"/>
  <c r="B8" i="19"/>
  <c r="C8" i="19" s="1"/>
  <c r="D8" i="19" s="1"/>
  <c r="C31" i="9"/>
  <c r="D31" i="9" s="1"/>
  <c r="E9" i="3"/>
  <c r="E9" i="12" s="1"/>
  <c r="E27" i="3"/>
  <c r="E27" i="12" s="1"/>
  <c r="F26" i="3"/>
  <c r="F26" i="12" s="1"/>
  <c r="B20" i="20" l="1"/>
  <c r="C20" i="20" s="1"/>
  <c r="D20" i="20" s="1"/>
  <c r="E20" i="20" s="1"/>
  <c r="F20" i="20" s="1"/>
  <c r="C15" i="20"/>
  <c r="D15" i="20" s="1"/>
  <c r="E15" i="20" s="1"/>
  <c r="C18" i="24"/>
  <c r="D18" i="24" s="1"/>
  <c r="E18" i="24" s="1"/>
  <c r="F18" i="24" s="1"/>
  <c r="C19" i="24" s="1"/>
  <c r="D19" i="24" s="1"/>
  <c r="E19" i="24" s="1"/>
  <c r="F19" i="24" s="1"/>
  <c r="C20" i="24" s="1"/>
  <c r="D20" i="24" s="1"/>
  <c r="E20" i="24" s="1"/>
  <c r="F20" i="24" s="1"/>
  <c r="C21" i="24" s="1"/>
  <c r="D21" i="24" s="1"/>
  <c r="E21" i="24" s="1"/>
  <c r="F21" i="24" s="1"/>
  <c r="B24" i="24"/>
  <c r="C24" i="24" s="1"/>
  <c r="D24" i="24" s="1"/>
  <c r="E24" i="24" s="1"/>
  <c r="F24" i="24" s="1"/>
  <c r="B9" i="19"/>
  <c r="C9" i="19" s="1"/>
  <c r="D9" i="19" s="1"/>
  <c r="E8" i="19"/>
  <c r="F8" i="19" s="1"/>
  <c r="E31" i="9"/>
  <c r="F31" i="9" s="1"/>
  <c r="F27" i="3"/>
  <c r="F27" i="12" s="1"/>
  <c r="F9" i="3"/>
  <c r="F9" i="12" s="1"/>
  <c r="B10" i="19" l="1"/>
  <c r="C10" i="19" s="1"/>
  <c r="D10" i="19" s="1"/>
  <c r="E10" i="19" s="1"/>
  <c r="E9" i="19"/>
  <c r="F15" i="20"/>
  <c r="C16" i="20" s="1"/>
  <c r="D16" i="20" s="1"/>
  <c r="E16" i="20" s="1"/>
  <c r="F16" i="20" s="1"/>
  <c r="C17" i="20" s="1"/>
  <c r="D17" i="20" s="1"/>
  <c r="E17" i="20" s="1"/>
  <c r="F17" i="20" s="1"/>
  <c r="F9" i="19"/>
  <c r="E14" i="19" s="1"/>
  <c r="F14" i="19" s="1"/>
  <c r="C10" i="3"/>
  <c r="C10" i="12" s="1"/>
  <c r="B11" i="19" l="1"/>
  <c r="C11" i="19" s="1"/>
  <c r="D11" i="19" s="1"/>
  <c r="E11" i="19" s="1"/>
  <c r="F10" i="19"/>
  <c r="D10" i="3"/>
  <c r="D10" i="12" s="1"/>
  <c r="B12" i="19" l="1"/>
  <c r="F11" i="19"/>
  <c r="E10" i="3"/>
  <c r="E10" i="12" s="1"/>
  <c r="C12" i="19" l="1"/>
  <c r="D12" i="19" s="1"/>
  <c r="F10" i="3"/>
  <c r="F10" i="12" s="1"/>
  <c r="B13" i="19" l="1"/>
  <c r="C13" i="19" s="1"/>
  <c r="D13" i="19" s="1"/>
  <c r="E13" i="19" s="1"/>
  <c r="E12" i="19"/>
  <c r="F12" i="19" s="1"/>
  <c r="C11" i="3"/>
  <c r="C11" i="12" s="1"/>
  <c r="F13" i="19" l="1"/>
  <c r="E15" i="19" s="1"/>
  <c r="F15" i="19" s="1"/>
  <c r="D11" i="3"/>
  <c r="D11" i="12" l="1"/>
  <c r="E11" i="3"/>
  <c r="E11" i="12" s="1"/>
  <c r="F11" i="3" l="1"/>
  <c r="F11" i="12" s="1"/>
  <c r="B31" i="12" l="1"/>
  <c r="C31" i="3" l="1"/>
  <c r="C31" i="12" s="1"/>
  <c r="D31" i="3" l="1"/>
  <c r="D31" i="12" l="1"/>
  <c r="E31" i="3"/>
  <c r="E31" i="12" s="1"/>
  <c r="B12" i="3"/>
  <c r="B12" i="12" l="1"/>
  <c r="C12" i="3"/>
  <c r="B29" i="3"/>
  <c r="F31" i="3"/>
  <c r="F31" i="12" s="1"/>
  <c r="B29" i="12" l="1"/>
  <c r="C29" i="3"/>
  <c r="B30" i="3"/>
  <c r="C12" i="12"/>
  <c r="D12" i="3"/>
  <c r="C29" i="12" l="1"/>
  <c r="D29" i="3"/>
  <c r="D12" i="12"/>
  <c r="E12" i="3"/>
  <c r="B30" i="12"/>
  <c r="C30" i="3"/>
  <c r="C30" i="12" l="1"/>
  <c r="D30" i="3"/>
  <c r="D29" i="12"/>
  <c r="E29" i="3"/>
  <c r="E12" i="12"/>
  <c r="F12" i="3"/>
  <c r="F12" i="12" l="1"/>
  <c r="C13" i="3"/>
  <c r="C13" i="12" s="1"/>
  <c r="D30" i="12"/>
  <c r="B28" i="3"/>
  <c r="E30" i="3"/>
  <c r="E29" i="12"/>
  <c r="F29" i="3"/>
  <c r="F29" i="12" s="1"/>
  <c r="D13" i="3" l="1"/>
  <c r="E30" i="12"/>
  <c r="F30" i="3"/>
  <c r="F30" i="12" s="1"/>
  <c r="C28" i="3"/>
  <c r="B28" i="12"/>
  <c r="D13" i="12"/>
  <c r="E13" i="3"/>
  <c r="C28" i="12" l="1"/>
  <c r="D28" i="3"/>
  <c r="E13" i="12"/>
  <c r="F13" i="3"/>
  <c r="D28" i="12" l="1"/>
  <c r="E28" i="3"/>
  <c r="F13" i="12"/>
  <c r="C14" i="3"/>
  <c r="C14" i="12" l="1"/>
  <c r="D14" i="3"/>
  <c r="F28" i="3"/>
  <c r="F28" i="12" s="1"/>
  <c r="E28" i="12"/>
  <c r="D14" i="12" l="1"/>
  <c r="E14" i="3"/>
  <c r="E14" i="12" l="1"/>
  <c r="F14" i="3"/>
  <c r="F14" i="12" l="1"/>
  <c r="C15" i="3"/>
  <c r="C15" i="12" l="1"/>
  <c r="D15" i="3"/>
  <c r="D15" i="12" l="1"/>
  <c r="E15" i="3"/>
  <c r="E15" i="12" l="1"/>
  <c r="F15" i="3"/>
  <c r="F15" i="12" l="1"/>
  <c r="B16" i="3"/>
  <c r="C16" i="3" l="1"/>
  <c r="B16" i="12"/>
  <c r="D16" i="3" l="1"/>
  <c r="C16" i="12"/>
  <c r="D16" i="12" l="1"/>
  <c r="E16" i="3"/>
  <c r="B32" i="3"/>
  <c r="C32" i="3" l="1"/>
  <c r="B33" i="3"/>
  <c r="B32" i="12"/>
  <c r="E16" i="12"/>
  <c r="F16" i="3"/>
  <c r="F16" i="12" l="1"/>
  <c r="C17" i="3"/>
  <c r="C17" i="12" s="1"/>
  <c r="B33" i="12"/>
  <c r="C33" i="3"/>
  <c r="D32" i="3"/>
  <c r="C32" i="12"/>
  <c r="D17" i="3" l="1"/>
  <c r="D17" i="12"/>
  <c r="E17" i="3"/>
  <c r="E32" i="3"/>
  <c r="D32" i="12"/>
  <c r="C33" i="12"/>
  <c r="D33" i="3"/>
  <c r="F32" i="3" l="1"/>
  <c r="F32" i="12" s="1"/>
  <c r="E32" i="12"/>
  <c r="B34" i="3"/>
  <c r="E33" i="3"/>
  <c r="D33" i="12"/>
  <c r="E17" i="12"/>
  <c r="F17" i="3"/>
  <c r="C18" i="3" l="1"/>
  <c r="F17" i="12"/>
  <c r="E33" i="12"/>
  <c r="F33" i="3"/>
  <c r="F33" i="12" s="1"/>
  <c r="B34" i="12"/>
  <c r="C34" i="3"/>
  <c r="D34" i="3" l="1"/>
  <c r="C34" i="12"/>
  <c r="D18" i="3"/>
  <c r="C18" i="12"/>
  <c r="D18" i="12" l="1"/>
  <c r="E18" i="3"/>
  <c r="D34" i="12"/>
  <c r="E34" i="3"/>
  <c r="F18" i="3" l="1"/>
  <c r="E18" i="12"/>
  <c r="F34" i="3"/>
  <c r="F34" i="12" s="1"/>
  <c r="E34" i="12"/>
  <c r="F18" i="12" l="1"/>
  <c r="C19" i="3"/>
  <c r="D19" i="3" l="1"/>
  <c r="C19" i="12"/>
  <c r="D19" i="12" l="1"/>
  <c r="E19" i="3"/>
  <c r="F19" i="3" l="1"/>
  <c r="E19" i="12"/>
  <c r="F19" i="12" l="1"/>
  <c r="B20" i="3"/>
  <c r="B20" i="12" l="1"/>
  <c r="C20" i="3"/>
  <c r="C20" i="12" l="1"/>
  <c r="D20" i="3"/>
  <c r="B5" i="4" l="1"/>
  <c r="C5" i="4" s="1"/>
  <c r="D5" i="4" s="1"/>
  <c r="E20" i="3"/>
  <c r="D20" i="12"/>
  <c r="F20" i="3" l="1"/>
  <c r="E20" i="12"/>
  <c r="B6" i="4"/>
  <c r="E5" i="4"/>
  <c r="F5" i="4" s="1"/>
  <c r="F20" i="12" l="1"/>
  <c r="C21" i="3"/>
  <c r="D21" i="3" s="1"/>
  <c r="C21" i="12"/>
  <c r="C6" i="4"/>
  <c r="B7" i="4"/>
  <c r="B5" i="14"/>
  <c r="C7" i="4" l="1"/>
  <c r="B6" i="14"/>
  <c r="B8" i="4"/>
  <c r="C5" i="14"/>
  <c r="D6" i="4"/>
  <c r="D21" i="12"/>
  <c r="E21" i="3"/>
  <c r="E6" i="4" l="1"/>
  <c r="D5" i="14"/>
  <c r="B7" i="14"/>
  <c r="C8" i="4"/>
  <c r="E21" i="12"/>
  <c r="F21" i="3"/>
  <c r="C6" i="14"/>
  <c r="D7" i="4"/>
  <c r="E7" i="4" l="1"/>
  <c r="D6" i="14"/>
  <c r="C7" i="14"/>
  <c r="D8" i="4"/>
  <c r="F21" i="12"/>
  <c r="C22" i="3"/>
  <c r="E5" i="14"/>
  <c r="F6" i="4"/>
  <c r="F5" i="14" s="1"/>
  <c r="D7" i="14" l="1"/>
  <c r="E8" i="4"/>
  <c r="B9" i="4"/>
  <c r="D22" i="3"/>
  <c r="C22" i="12"/>
  <c r="F7" i="4"/>
  <c r="F6" i="14" s="1"/>
  <c r="E6" i="14"/>
  <c r="C9" i="4" l="1"/>
  <c r="B8" i="14"/>
  <c r="F8" i="4"/>
  <c r="F7" i="14" s="1"/>
  <c r="E7" i="14"/>
  <c r="E22" i="3"/>
  <c r="D22" i="12"/>
  <c r="F22" i="3" l="1"/>
  <c r="E22" i="12"/>
  <c r="D9" i="4"/>
  <c r="C8" i="14"/>
  <c r="B25" i="4" l="1"/>
  <c r="E9" i="4"/>
  <c r="D8" i="14"/>
  <c r="F22" i="12"/>
  <c r="C23" i="3"/>
  <c r="C23" i="12" l="1"/>
  <c r="D23" i="3"/>
  <c r="C10" i="4"/>
  <c r="E8" i="14"/>
  <c r="F9" i="4"/>
  <c r="F8" i="14" s="1"/>
  <c r="B26" i="4"/>
  <c r="B24" i="14"/>
  <c r="C25" i="4"/>
  <c r="D25" i="4" l="1"/>
  <c r="C24" i="14"/>
  <c r="D23" i="12"/>
  <c r="E23" i="3"/>
  <c r="B25" i="14"/>
  <c r="C26" i="4"/>
  <c r="B27" i="4"/>
  <c r="D10" i="4"/>
  <c r="C9" i="14"/>
  <c r="D26" i="4" l="1"/>
  <c r="C25" i="14"/>
  <c r="D9" i="14"/>
  <c r="E10" i="4"/>
  <c r="C27" i="4"/>
  <c r="B26" i="14"/>
  <c r="F23" i="3"/>
  <c r="E23" i="12"/>
  <c r="D24" i="14"/>
  <c r="E25" i="4"/>
  <c r="E9" i="14" l="1"/>
  <c r="F10" i="4"/>
  <c r="F25" i="4"/>
  <c r="F24" i="14" s="1"/>
  <c r="E24" i="14"/>
  <c r="F23" i="12"/>
  <c r="D24" i="3"/>
  <c r="C26" i="14"/>
  <c r="D27" i="4"/>
  <c r="E26" i="4"/>
  <c r="D25" i="14"/>
  <c r="D26" i="14" l="1"/>
  <c r="E27" i="4"/>
  <c r="B31" i="4"/>
  <c r="D24" i="12"/>
  <c r="E24" i="3"/>
  <c r="F9" i="14"/>
  <c r="C11" i="4"/>
  <c r="E25" i="14"/>
  <c r="F26" i="4"/>
  <c r="F25" i="14" s="1"/>
  <c r="D11" i="4" l="1"/>
  <c r="C10" i="14"/>
  <c r="E24" i="12"/>
  <c r="F24" i="3"/>
  <c r="F24" i="12" s="1"/>
  <c r="B30" i="14"/>
  <c r="C31" i="4"/>
  <c r="F27" i="4"/>
  <c r="F26" i="14" s="1"/>
  <c r="E26" i="14"/>
  <c r="D31" i="4" l="1"/>
  <c r="C30" i="14"/>
  <c r="D10" i="14"/>
  <c r="E11" i="4"/>
  <c r="E10" i="14" l="1"/>
  <c r="F11" i="4"/>
  <c r="D30" i="14"/>
  <c r="E31" i="4"/>
  <c r="B13" i="4"/>
  <c r="C13" i="4" l="1"/>
  <c r="B29" i="4"/>
  <c r="B12" i="14"/>
  <c r="F10" i="14"/>
  <c r="C12" i="4"/>
  <c r="E30" i="14"/>
  <c r="F31" i="4"/>
  <c r="F30" i="14" s="1"/>
  <c r="C11" i="14" l="1"/>
  <c r="D12" i="4"/>
  <c r="B28" i="14"/>
  <c r="C29" i="4"/>
  <c r="B30" i="4"/>
  <c r="C12" i="14"/>
  <c r="D13" i="4"/>
  <c r="C30" i="4" l="1"/>
  <c r="B29" i="14"/>
  <c r="D12" i="14"/>
  <c r="E13" i="4"/>
  <c r="E12" i="4"/>
  <c r="D11" i="14"/>
  <c r="C28" i="14"/>
  <c r="D29" i="4"/>
  <c r="F12" i="4" l="1"/>
  <c r="F11" i="14" s="1"/>
  <c r="E11" i="14"/>
  <c r="D28" i="14"/>
  <c r="E29" i="4"/>
  <c r="F13" i="4"/>
  <c r="F12" i="14" s="1"/>
  <c r="C14" i="4"/>
  <c r="E12" i="14"/>
  <c r="D30" i="4"/>
  <c r="C29" i="14"/>
  <c r="E30" i="4" l="1"/>
  <c r="B28" i="4"/>
  <c r="D29" i="14"/>
  <c r="D14" i="4"/>
  <c r="C13" i="14"/>
  <c r="E28" i="14"/>
  <c r="F29" i="4"/>
  <c r="F28" i="14" s="1"/>
  <c r="D13" i="14" l="1"/>
  <c r="E14" i="4"/>
  <c r="B27" i="14"/>
  <c r="C28" i="4"/>
  <c r="E29" i="14"/>
  <c r="F30" i="4"/>
  <c r="F29" i="14" s="1"/>
  <c r="D28" i="4" l="1"/>
  <c r="C27" i="14"/>
  <c r="E13" i="14"/>
  <c r="F14" i="4"/>
  <c r="C15" i="4" l="1"/>
  <c r="F13" i="14"/>
  <c r="D27" i="14"/>
  <c r="E28" i="4"/>
  <c r="F28" i="4" l="1"/>
  <c r="F27" i="14" s="1"/>
  <c r="E27" i="14"/>
  <c r="C14" i="14"/>
  <c r="D15" i="4"/>
  <c r="D14" i="14" l="1"/>
  <c r="E15" i="4"/>
  <c r="E14" i="14" l="1"/>
  <c r="F15" i="4"/>
  <c r="F14" i="14" l="1"/>
  <c r="C16" i="4"/>
  <c r="D16" i="4" l="1"/>
  <c r="C15" i="14"/>
  <c r="D15" i="14" l="1"/>
  <c r="E16" i="4"/>
  <c r="F16" i="4" l="1"/>
  <c r="E15" i="14"/>
  <c r="F15" i="14" l="1"/>
  <c r="B17" i="4"/>
  <c r="B16" i="14" l="1"/>
  <c r="C17" i="4"/>
  <c r="C16" i="14" l="1"/>
  <c r="D17" i="4"/>
  <c r="D16" i="14" l="1"/>
  <c r="B32" i="4"/>
  <c r="E17" i="4"/>
  <c r="F17" i="4" l="1"/>
  <c r="F16" i="14" s="1"/>
  <c r="C18" i="4"/>
  <c r="E16" i="14"/>
  <c r="B31" i="14"/>
  <c r="B33" i="4"/>
  <c r="C32" i="4"/>
  <c r="B32" i="14" l="1"/>
  <c r="C33" i="4"/>
  <c r="C17" i="14"/>
  <c r="D18" i="4"/>
  <c r="D32" i="4"/>
  <c r="C31" i="14"/>
  <c r="C32" i="14" l="1"/>
  <c r="D33" i="4"/>
  <c r="E32" i="4"/>
  <c r="D31" i="14"/>
  <c r="D17" i="14"/>
  <c r="E18" i="4"/>
  <c r="F18" i="4" l="1"/>
  <c r="E17" i="14"/>
  <c r="E31" i="14"/>
  <c r="F32" i="4"/>
  <c r="F31" i="14" s="1"/>
  <c r="D32" i="14"/>
  <c r="E33" i="4"/>
  <c r="B34" i="4"/>
  <c r="B33" i="14" l="1"/>
  <c r="C34" i="4"/>
  <c r="F33" i="4"/>
  <c r="F32" i="14" s="1"/>
  <c r="E32" i="14"/>
  <c r="F17" i="14"/>
  <c r="C19" i="4"/>
  <c r="D19" i="4" l="1"/>
  <c r="C18" i="14"/>
  <c r="D34" i="4"/>
  <c r="C33" i="14"/>
  <c r="D33" i="14" l="1"/>
  <c r="E34" i="4"/>
  <c r="D18" i="14"/>
  <c r="E19" i="4"/>
  <c r="F19" i="4" l="1"/>
  <c r="E18" i="14"/>
  <c r="E33" i="14"/>
  <c r="F34" i="4"/>
  <c r="F33" i="14" s="1"/>
  <c r="F18" i="14" l="1"/>
  <c r="C20" i="4"/>
  <c r="D20" i="4" l="1"/>
  <c r="C19" i="14"/>
  <c r="D19" i="14" l="1"/>
  <c r="E20" i="4"/>
  <c r="E19" i="14" l="1"/>
  <c r="F20" i="4"/>
  <c r="C12" i="9"/>
  <c r="D12" i="9" s="1"/>
  <c r="E12" i="9" s="1"/>
  <c r="B29" i="9"/>
  <c r="C29" i="9" s="1"/>
  <c r="D29" i="9" s="1"/>
  <c r="E29" i="9" s="1"/>
  <c r="F29" i="9" s="1"/>
  <c r="B21" i="4" l="1"/>
  <c r="F19" i="14"/>
  <c r="F12" i="9"/>
  <c r="C13" i="9"/>
  <c r="D13" i="9" s="1"/>
  <c r="E13" i="9" s="1"/>
  <c r="F13" i="9" s="1"/>
  <c r="C14" i="9" s="1"/>
  <c r="D14" i="9" s="1"/>
  <c r="E14" i="9" s="1"/>
  <c r="F14" i="9" s="1"/>
  <c r="C15" i="9" s="1"/>
  <c r="D15" i="9" s="1"/>
  <c r="E15" i="9" s="1"/>
  <c r="F15" i="9" s="1"/>
  <c r="B30" i="9"/>
  <c r="C30" i="9" s="1"/>
  <c r="D30" i="9" s="1"/>
  <c r="B20" i="14" l="1"/>
  <c r="C21" i="4"/>
  <c r="E30" i="9"/>
  <c r="F30" i="9" s="1"/>
  <c r="B28" i="9"/>
  <c r="C28" i="9" s="1"/>
  <c r="D28" i="9" s="1"/>
  <c r="C20" i="14" l="1"/>
  <c r="D21" i="4"/>
  <c r="C16" i="9"/>
  <c r="D16" i="9" s="1"/>
  <c r="E28" i="9"/>
  <c r="F28" i="9" s="1"/>
  <c r="E21" i="4" l="1"/>
  <c r="D20" i="14"/>
  <c r="E16" i="9"/>
  <c r="B32" i="9"/>
  <c r="C22" i="4" l="1"/>
  <c r="E20" i="14"/>
  <c r="F21" i="4"/>
  <c r="F20" i="14" s="1"/>
  <c r="C32" i="9"/>
  <c r="D32" i="9" s="1"/>
  <c r="E32" i="9" s="1"/>
  <c r="F32" i="9" s="1"/>
  <c r="B33" i="9"/>
  <c r="C33" i="9" s="1"/>
  <c r="D33" i="9" s="1"/>
  <c r="C17" i="9"/>
  <c r="D17" i="9" s="1"/>
  <c r="E17" i="9" s="1"/>
  <c r="F17" i="9" s="1"/>
  <c r="C18" i="9" s="1"/>
  <c r="D18" i="9" s="1"/>
  <c r="E18" i="9" s="1"/>
  <c r="F18" i="9" s="1"/>
  <c r="C19" i="9" s="1"/>
  <c r="D19" i="9" s="1"/>
  <c r="E19" i="9" s="1"/>
  <c r="F19" i="9" s="1"/>
  <c r="F16" i="9"/>
  <c r="C21" i="14" l="1"/>
  <c r="D22" i="4"/>
  <c r="B34" i="9"/>
  <c r="C34" i="9" s="1"/>
  <c r="D34" i="9" s="1"/>
  <c r="E33" i="9"/>
  <c r="F33" i="9" s="1"/>
  <c r="D21" i="14" l="1"/>
  <c r="E22" i="4"/>
  <c r="C20" i="9"/>
  <c r="D20" i="9" s="1"/>
  <c r="E20" i="9" s="1"/>
  <c r="E34" i="9"/>
  <c r="F34" i="9" s="1"/>
  <c r="E21" i="14" l="1"/>
  <c r="F22" i="4"/>
  <c r="F20" i="9"/>
  <c r="C21" i="9"/>
  <c r="D21" i="9" s="1"/>
  <c r="E21" i="9" s="1"/>
  <c r="F21" i="9" s="1"/>
  <c r="C22" i="9" s="1"/>
  <c r="D22" i="9" s="1"/>
  <c r="E22" i="9" s="1"/>
  <c r="F22" i="9" s="1"/>
  <c r="C23" i="9" s="1"/>
  <c r="D23" i="9" s="1"/>
  <c r="E23" i="9" s="1"/>
  <c r="F23" i="9" s="1"/>
  <c r="D24" i="9" s="1"/>
  <c r="E24" i="9" s="1"/>
  <c r="F24" i="9" s="1"/>
  <c r="C32" i="13"/>
  <c r="D32" i="13" s="1"/>
  <c r="C23" i="4" l="1"/>
  <c r="F21" i="14"/>
  <c r="E32" i="13"/>
  <c r="F32" i="13" s="1"/>
  <c r="C22" i="14" l="1"/>
  <c r="D23" i="4"/>
  <c r="B30" i="13"/>
  <c r="C13" i="13"/>
  <c r="D13" i="13" s="1"/>
  <c r="E13" i="13" s="1"/>
  <c r="E23" i="4" l="1"/>
  <c r="D22" i="14"/>
  <c r="C14" i="13"/>
  <c r="D14" i="13" s="1"/>
  <c r="E14" i="13" s="1"/>
  <c r="F14" i="13" s="1"/>
  <c r="C15" i="13" s="1"/>
  <c r="D15" i="13" s="1"/>
  <c r="E15" i="13" s="1"/>
  <c r="F15" i="13" s="1"/>
  <c r="C16" i="13" s="1"/>
  <c r="D16" i="13" s="1"/>
  <c r="E16" i="13" s="1"/>
  <c r="F16" i="13" s="1"/>
  <c r="C17" i="13" s="1"/>
  <c r="D17" i="13" s="1"/>
  <c r="F13" i="13"/>
  <c r="B31" i="13"/>
  <c r="C31" i="13" s="1"/>
  <c r="D31" i="13" s="1"/>
  <c r="C30" i="13"/>
  <c r="D30" i="13" s="1"/>
  <c r="E30" i="13" s="1"/>
  <c r="F30" i="13" s="1"/>
  <c r="B33" i="13" l="1"/>
  <c r="E17" i="13"/>
  <c r="F23" i="4"/>
  <c r="E22" i="14"/>
  <c r="B29" i="13"/>
  <c r="C29" i="13" s="1"/>
  <c r="D29" i="13" s="1"/>
  <c r="E29" i="13" s="1"/>
  <c r="F29" i="13" s="1"/>
  <c r="E31" i="13"/>
  <c r="F31" i="13" s="1"/>
  <c r="C18" i="13" l="1"/>
  <c r="D18" i="13" s="1"/>
  <c r="E18" i="13" s="1"/>
  <c r="F18" i="13" s="1"/>
  <c r="C19" i="13" s="1"/>
  <c r="D19" i="13" s="1"/>
  <c r="E19" i="13" s="1"/>
  <c r="F19" i="13" s="1"/>
  <c r="C20" i="13" s="1"/>
  <c r="D20" i="13" s="1"/>
  <c r="E20" i="13" s="1"/>
  <c r="F20" i="13" s="1"/>
  <c r="C21" i="13" s="1"/>
  <c r="D21" i="13" s="1"/>
  <c r="F17" i="13"/>
  <c r="F22" i="14"/>
  <c r="C24" i="4"/>
  <c r="D24" i="4" l="1"/>
  <c r="C23" i="14"/>
  <c r="E21" i="13"/>
  <c r="F21" i="13" s="1"/>
  <c r="C22" i="13" l="1"/>
  <c r="D22" i="13" s="1"/>
  <c r="E22" i="13" s="1"/>
  <c r="F22" i="13" s="1"/>
  <c r="C23" i="13" s="1"/>
  <c r="D23" i="13" s="1"/>
  <c r="E23" i="13" s="1"/>
  <c r="F23" i="13" s="1"/>
  <c r="C24" i="13" s="1"/>
  <c r="D24" i="13" s="1"/>
  <c r="E24" i="13" s="1"/>
  <c r="F24" i="13" s="1"/>
  <c r="D25" i="13" s="1"/>
  <c r="E25" i="13" s="1"/>
  <c r="F25" i="13" s="1"/>
  <c r="D23" i="14"/>
  <c r="E24" i="4"/>
  <c r="B34" i="13"/>
  <c r="C34" i="13" s="1"/>
  <c r="D34" i="13" s="1"/>
  <c r="C33" i="13"/>
  <c r="D33" i="13" s="1"/>
  <c r="E33" i="13" s="1"/>
  <c r="F33" i="13" s="1"/>
  <c r="F24" i="4" l="1"/>
  <c r="F23" i="14" s="1"/>
  <c r="E23" i="14"/>
  <c r="E34" i="13"/>
  <c r="F34" i="13" s="1"/>
  <c r="B35" i="13"/>
  <c r="C35" i="13" s="1"/>
  <c r="D35" i="13" s="1"/>
  <c r="E35" i="13" s="1"/>
  <c r="F35" i="13" s="1"/>
</calcChain>
</file>

<file path=xl/sharedStrings.xml><?xml version="1.0" encoding="utf-8"?>
<sst xmlns="http://schemas.openxmlformats.org/spreadsheetml/2006/main" count="1173" uniqueCount="567">
  <si>
    <t>tile</t>
    <phoneticPr fontId="1" type="noConversion"/>
  </si>
  <si>
    <t>x</t>
    <phoneticPr fontId="1" type="noConversion"/>
  </si>
  <si>
    <t>CYCLE</t>
    <phoneticPr fontId="1" type="noConversion"/>
  </si>
  <si>
    <t>y</t>
    <phoneticPr fontId="1" type="noConversion"/>
  </si>
  <si>
    <t>MODE</t>
    <phoneticPr fontId="1" type="noConversion"/>
  </si>
  <si>
    <t>mode</t>
  </si>
  <si>
    <t>pipe begin</t>
    <phoneticPr fontId="1" type="noConversion"/>
  </si>
  <si>
    <t>input begin</t>
    <phoneticPr fontId="1" type="noConversion"/>
  </si>
  <si>
    <t>input end</t>
    <phoneticPr fontId="1" type="noConversion"/>
  </si>
  <si>
    <t>output begin</t>
    <phoneticPr fontId="1" type="noConversion"/>
  </si>
  <si>
    <t>output end</t>
    <phoneticPr fontId="1" type="noConversion"/>
  </si>
  <si>
    <t>8x8 input cc</t>
    <phoneticPr fontId="1" type="noConversion"/>
  </si>
  <si>
    <t>8x8 work cc</t>
    <phoneticPr fontId="1" type="noConversion"/>
  </si>
  <si>
    <t>8x8 output cc</t>
    <phoneticPr fontId="1" type="noConversion"/>
  </si>
  <si>
    <t>tqitq out</t>
    <phoneticPr fontId="1" type="noConversion"/>
  </si>
  <si>
    <t>tqitq work</t>
    <phoneticPr fontId="1" type="noConversion"/>
  </si>
  <si>
    <t>inter pk in</t>
    <phoneticPr fontId="1" type="noConversion"/>
  </si>
  <si>
    <t>inter pk work</t>
    <phoneticPr fontId="1" type="noConversion"/>
  </si>
  <si>
    <t>inter pk out</t>
    <phoneticPr fontId="1" type="noConversion"/>
  </si>
  <si>
    <t>sel pk in</t>
    <phoneticPr fontId="1" type="noConversion"/>
  </si>
  <si>
    <t>sel pk work</t>
    <phoneticPr fontId="1" type="noConversion"/>
  </si>
  <si>
    <t>sel pk out</t>
    <phoneticPr fontId="1" type="noConversion"/>
  </si>
  <si>
    <t>dummy wait</t>
    <phoneticPr fontId="1" type="noConversion"/>
  </si>
  <si>
    <t>16x16 input cc</t>
    <phoneticPr fontId="1" type="noConversion"/>
  </si>
  <si>
    <t>16x16 work cc</t>
    <phoneticPr fontId="1" type="noConversion"/>
  </si>
  <si>
    <t>16x16 output cc</t>
    <phoneticPr fontId="1" type="noConversion"/>
  </si>
  <si>
    <t>32x32 input cc</t>
    <phoneticPr fontId="1" type="noConversion"/>
  </si>
  <si>
    <t>32x32 work cc</t>
    <phoneticPr fontId="1" type="noConversion"/>
  </si>
  <si>
    <t>32x32 output cc</t>
    <phoneticPr fontId="1" type="noConversion"/>
  </si>
  <si>
    <t>PMF_M8_0_a</t>
  </si>
  <si>
    <t xml:space="preserve">PMF_M8_0_b </t>
  </si>
  <si>
    <t xml:space="preserve">PMF_M8_0_c </t>
  </si>
  <si>
    <t xml:space="preserve">TQITQ_F8 </t>
  </si>
  <si>
    <t xml:space="preserve">INTER_PK8 </t>
  </si>
  <si>
    <t xml:space="preserve">SEL_PK8 </t>
  </si>
  <si>
    <t xml:space="preserve">PMF_M8_1_b </t>
  </si>
  <si>
    <t>PMF_M16_0_a</t>
  </si>
  <si>
    <t xml:space="preserve">TQITQ_M8 </t>
  </si>
  <si>
    <t xml:space="preserve">PMF_M8_2_c </t>
  </si>
  <si>
    <t>PMF_M8_3_a</t>
  </si>
  <si>
    <t xml:space="preserve">PMF_M8_3_b </t>
  </si>
  <si>
    <t xml:space="preserve">PMF_F8_3 </t>
  </si>
  <si>
    <t xml:space="preserve">PMF_M8_3_c </t>
  </si>
  <si>
    <t>PMF_M8_1_a</t>
    <phoneticPr fontId="1" type="noConversion"/>
  </si>
  <si>
    <t xml:space="preserve">PMF_M8_1_c </t>
    <phoneticPr fontId="1" type="noConversion"/>
  </si>
  <si>
    <t>PMF_M8_2_a</t>
    <phoneticPr fontId="1" type="noConversion"/>
  </si>
  <si>
    <t xml:space="preserve">PMF_M8_2_b </t>
    <phoneticPr fontId="1" type="noConversion"/>
  </si>
  <si>
    <t xml:space="preserve">PMF_F8_1 </t>
    <phoneticPr fontId="1" type="noConversion"/>
  </si>
  <si>
    <t xml:space="preserve">TQITQ_M8 </t>
    <phoneticPr fontId="1" type="noConversion"/>
  </si>
  <si>
    <t>PMF_F8_2</t>
    <phoneticPr fontId="1" type="noConversion"/>
  </si>
  <si>
    <t>PMF_F8_0</t>
    <phoneticPr fontId="1" type="noConversion"/>
  </si>
  <si>
    <t>PMF_F8_1</t>
    <phoneticPr fontId="1" type="noConversion"/>
  </si>
  <si>
    <t>PMF C0 Round 1-3</t>
    <phoneticPr fontId="1" type="noConversion"/>
  </si>
  <si>
    <t xml:space="preserve">PMF_F8_0 </t>
    <phoneticPr fontId="1" type="noConversion"/>
  </si>
  <si>
    <t>PMF_F16_0</t>
  </si>
  <si>
    <t>PMF_M16_0_c</t>
  </si>
  <si>
    <t xml:space="preserve">
</t>
  </si>
  <si>
    <t>块个数</t>
  </si>
  <si>
    <t>单块运行cycle</t>
  </si>
  <si>
    <t>流水延迟</t>
  </si>
  <si>
    <t>CB CR 块</t>
  </si>
  <si>
    <t>模式</t>
  </si>
  <si>
    <t>8x8</t>
  </si>
  <si>
    <t>64*2</t>
  </si>
  <si>
    <t>4x4</t>
  </si>
  <si>
    <t>4x8</t>
  </si>
  <si>
    <t>FME+ MMVPx1</t>
  </si>
  <si>
    <t>16x16</t>
  </si>
  <si>
    <t>16*2</t>
  </si>
  <si>
    <t>8x16</t>
  </si>
  <si>
    <t>FME+ MMVPx2</t>
  </si>
  <si>
    <t>32x32</t>
  </si>
  <si>
    <t>8*2</t>
  </si>
  <si>
    <t>16x32</t>
  </si>
  <si>
    <t>64x64</t>
  </si>
  <si>
    <t>32x64</t>
  </si>
  <si>
    <t>性能需求420：64x64</t>
  </si>
  <si>
    <t>插值性能估计</t>
  </si>
  <si>
    <t>Y</t>
  </si>
  <si>
    <t>模式个数</t>
  </si>
  <si>
    <t>总计</t>
  </si>
  <si>
    <t>y size</t>
  </si>
  <si>
    <t>小计</t>
  </si>
  <si>
    <t>16pixel</t>
  </si>
  <si>
    <t>8x8 1F1M</t>
  </si>
  <si>
    <t>8x8 1F3M</t>
  </si>
  <si>
    <t>16x16 1F2M</t>
  </si>
  <si>
    <t>16x16 2M</t>
  </si>
  <si>
    <t>32x32 1F</t>
  </si>
  <si>
    <t>16x16 1F1M</t>
  </si>
  <si>
    <t>64x64(切成4个32x32)</t>
  </si>
  <si>
    <t>8pixel</t>
  </si>
  <si>
    <t>32x32 2M</t>
  </si>
  <si>
    <t>32x32 1F3M</t>
  </si>
  <si>
    <t>64x64 1F1M(切成4个32x32)</t>
  </si>
  <si>
    <t>U(420)</t>
  </si>
  <si>
    <t>UV</t>
  </si>
  <si>
    <t>uv size</t>
  </si>
  <si>
    <t>总计 （U+V）</t>
  </si>
  <si>
    <t>16x16 1F3M</t>
  </si>
  <si>
    <t>16x16 F</t>
  </si>
  <si>
    <t>4pixel</t>
  </si>
  <si>
    <t>16x16 M</t>
  </si>
  <si>
    <t>32x32(4x32x8)</t>
  </si>
  <si>
    <t>64x64 1F3M(切成4个32x32)</t>
  </si>
  <si>
    <t>块输出到TQITQ 时间</t>
  </si>
  <si>
    <t>单块输出时间</t>
  </si>
  <si>
    <t>TQITQ输入通道</t>
  </si>
  <si>
    <t>Y 耗时</t>
  </si>
  <si>
    <t>UV 耗时</t>
  </si>
  <si>
    <t>MRG总耗时</t>
  </si>
  <si>
    <t>Intra 耗时</t>
  </si>
  <si>
    <t>TQITQ 输入耗时</t>
  </si>
  <si>
    <t>MRG &amp; intra 独立</t>
  </si>
  <si>
    <t>MRG &amp; intra 共享</t>
  </si>
  <si>
    <t>待定</t>
  </si>
  <si>
    <t>4x4 (Y8x8)</t>
    <phoneticPr fontId="1" type="noConversion"/>
  </si>
  <si>
    <t>8x8 (Y16x16)</t>
    <phoneticPr fontId="1" type="noConversion"/>
  </si>
  <si>
    <t>16x16 (Y32x32)</t>
    <phoneticPr fontId="1" type="noConversion"/>
  </si>
  <si>
    <t>32x32 (Y64x64)</t>
    <phoneticPr fontId="1" type="noConversion"/>
  </si>
  <si>
    <t>单块运行cycle(8 pixel)</t>
    <phoneticPr fontId="1" type="noConversion"/>
  </si>
  <si>
    <t>4x4 1F3M</t>
    <phoneticPr fontId="1" type="noConversion"/>
  </si>
  <si>
    <t>8x8 2M</t>
    <phoneticPr fontId="1" type="noConversion"/>
  </si>
  <si>
    <t>8x8 1F1M</t>
    <phoneticPr fontId="1" type="noConversion"/>
  </si>
  <si>
    <t>16x16 1F3M</t>
    <phoneticPr fontId="1" type="noConversion"/>
  </si>
  <si>
    <t>32x32 1F1M(切成4个32x32)</t>
    <phoneticPr fontId="1" type="noConversion"/>
  </si>
  <si>
    <t>总计 （U420）</t>
    <phoneticPr fontId="1" type="noConversion"/>
  </si>
  <si>
    <t>4x4 input cc</t>
  </si>
  <si>
    <t>4x4 work cc</t>
  </si>
  <si>
    <t>4x4 output cc</t>
  </si>
  <si>
    <t>PMF_M4_0_a</t>
  </si>
  <si>
    <t xml:space="preserve">PMF_M4_0_b </t>
  </si>
  <si>
    <t xml:space="preserve">PMF_M4_0_c </t>
  </si>
  <si>
    <t xml:space="preserve">PMF_M4_1_c </t>
  </si>
  <si>
    <t xml:space="preserve">TQITQ_M4 </t>
  </si>
  <si>
    <t xml:space="preserve">PMF_M4_2_c </t>
  </si>
  <si>
    <t xml:space="preserve">PMF_M4_3_c </t>
  </si>
  <si>
    <t>PMF_M4_1_a</t>
  </si>
  <si>
    <t xml:space="preserve">PMF_M4_1_b </t>
  </si>
  <si>
    <t>PMF_M4_2_a</t>
  </si>
  <si>
    <t xml:space="preserve">PMF_M4_2_b </t>
  </si>
  <si>
    <t>PMF_M4_3_a</t>
  </si>
  <si>
    <t xml:space="preserve">PMF_M4_3_b </t>
  </si>
  <si>
    <t>PMF_F4_0</t>
  </si>
  <si>
    <t xml:space="preserve">TQITQ_F4 </t>
  </si>
  <si>
    <t>PMF_F4_1</t>
  </si>
  <si>
    <t>PMF_F4_2</t>
  </si>
  <si>
    <t xml:space="preserve">PMF_F4_3 </t>
  </si>
  <si>
    <t xml:space="preserve">INTER_PK4 </t>
  </si>
  <si>
    <t xml:space="preserve">SEL_PK4 </t>
  </si>
  <si>
    <t>PMF_M8_0_a</t>
    <phoneticPr fontId="1" type="noConversion"/>
  </si>
  <si>
    <t>PMF_M16_0_b</t>
  </si>
  <si>
    <t>PMF UV c0 round0</t>
    <phoneticPr fontId="1" type="noConversion"/>
  </si>
  <si>
    <t>PMF c0 round0</t>
    <phoneticPr fontId="1" type="noConversion"/>
  </si>
  <si>
    <t>PMF c1 round0-3</t>
    <phoneticPr fontId="1" type="noConversion"/>
  </si>
  <si>
    <t>PMF_64M32_0</t>
    <phoneticPr fontId="1" type="noConversion"/>
  </si>
  <si>
    <t>PMF_64M32_1</t>
    <phoneticPr fontId="1" type="noConversion"/>
  </si>
  <si>
    <t>PMF_32M16_0</t>
    <phoneticPr fontId="1" type="noConversion"/>
  </si>
  <si>
    <t>PMF_32M16_1</t>
    <phoneticPr fontId="1" type="noConversion"/>
  </si>
  <si>
    <t>通道4</t>
    <phoneticPr fontId="1" type="noConversion"/>
  </si>
  <si>
    <t>通道8</t>
    <phoneticPr fontId="1" type="noConversion"/>
  </si>
  <si>
    <t>Y8x8</t>
    <phoneticPr fontId="1" type="noConversion"/>
  </si>
  <si>
    <t>通道16</t>
    <phoneticPr fontId="1" type="noConversion"/>
  </si>
  <si>
    <t>通道32</t>
    <phoneticPr fontId="1" type="noConversion"/>
  </si>
  <si>
    <t>Y32x32</t>
    <phoneticPr fontId="1" type="noConversion"/>
  </si>
  <si>
    <t>Y64x64(切成4个32x32)</t>
    <phoneticPr fontId="1" type="noConversion"/>
  </si>
  <si>
    <t>Y16x16</t>
    <phoneticPr fontId="1" type="noConversion"/>
  </si>
  <si>
    <t xml:space="preserve">UV16x16 </t>
    <phoneticPr fontId="1" type="noConversion"/>
  </si>
  <si>
    <t xml:space="preserve">UV8x8 </t>
    <phoneticPr fontId="1" type="noConversion"/>
  </si>
  <si>
    <t>uv4x4</t>
    <phoneticPr fontId="1" type="noConversion"/>
  </si>
  <si>
    <t>UV32x32（切成4个16x16)</t>
    <phoneticPr fontId="1" type="noConversion"/>
  </si>
  <si>
    <t>PMF output to TQITQ 占用时间</t>
    <phoneticPr fontId="1" type="noConversion"/>
  </si>
  <si>
    <t>块数</t>
    <phoneticPr fontId="1" type="noConversion"/>
  </si>
  <si>
    <t>输出时间</t>
    <phoneticPr fontId="1" type="noConversion"/>
  </si>
  <si>
    <t>模式个数</t>
    <phoneticPr fontId="1" type="noConversion"/>
  </si>
  <si>
    <t>时间</t>
    <phoneticPr fontId="1" type="noConversion"/>
  </si>
  <si>
    <t>总计</t>
    <phoneticPr fontId="1" type="noConversion"/>
  </si>
  <si>
    <t>y8x8(切成4个4x4)</t>
    <phoneticPr fontId="1" type="noConversion"/>
  </si>
  <si>
    <t>PMF UV c0 round1-3</t>
    <phoneticPr fontId="1" type="noConversion"/>
  </si>
  <si>
    <t>PMF_M16_0_a</t>
    <phoneticPr fontId="1" type="noConversion"/>
  </si>
  <si>
    <t>PMF_M16_0_b</t>
    <phoneticPr fontId="1" type="noConversion"/>
  </si>
  <si>
    <t>PMF_M16_0_c</t>
    <phoneticPr fontId="1" type="noConversion"/>
  </si>
  <si>
    <t>PMF_M16_3_b</t>
    <phoneticPr fontId="1" type="noConversion"/>
  </si>
  <si>
    <t>PMF_M16_3_c</t>
    <phoneticPr fontId="1" type="noConversion"/>
  </si>
  <si>
    <t>PMF_M16_2_b</t>
    <phoneticPr fontId="1" type="noConversion"/>
  </si>
  <si>
    <t>PMF_M16_1_b</t>
    <phoneticPr fontId="1" type="noConversion"/>
  </si>
  <si>
    <t>PMF_F16_0</t>
    <phoneticPr fontId="1" type="noConversion"/>
  </si>
  <si>
    <t>PMF UV c1 round1-3</t>
    <phoneticPr fontId="1" type="noConversion"/>
  </si>
  <si>
    <t>PMF UV c1 round0</t>
    <phoneticPr fontId="1" type="noConversion"/>
  </si>
  <si>
    <t>PMF_M8_0_c</t>
    <phoneticPr fontId="1" type="noConversion"/>
  </si>
  <si>
    <t>PMF_M8_0_b</t>
    <phoneticPr fontId="1" type="noConversion"/>
  </si>
  <si>
    <t>PMF_M8_1_b</t>
    <phoneticPr fontId="1" type="noConversion"/>
  </si>
  <si>
    <t>PMF_M8_1_c</t>
    <phoneticPr fontId="1" type="noConversion"/>
  </si>
  <si>
    <t>PMF_M8_2_b</t>
    <phoneticPr fontId="1" type="noConversion"/>
  </si>
  <si>
    <t>PMF_M8_3_b</t>
    <phoneticPr fontId="1" type="noConversion"/>
  </si>
  <si>
    <t>PMF c1 round1-3</t>
    <phoneticPr fontId="1" type="noConversion"/>
  </si>
  <si>
    <t>PMF_F32_0</t>
    <phoneticPr fontId="1" type="noConversion"/>
  </si>
  <si>
    <t>PMF_F16_3</t>
    <phoneticPr fontId="1" type="noConversion"/>
  </si>
  <si>
    <t>Yread latancy</t>
    <phoneticPr fontId="1" type="noConversion"/>
  </si>
  <si>
    <t>tqitq8x8 input</t>
    <phoneticPr fontId="1" type="noConversion"/>
  </si>
  <si>
    <t>UVread latancy</t>
    <phoneticPr fontId="1" type="noConversion"/>
  </si>
  <si>
    <t>tqitq4x4 input</t>
    <phoneticPr fontId="1" type="noConversion"/>
  </si>
  <si>
    <t>PMF_M16_a</t>
    <phoneticPr fontId="1" type="noConversion"/>
  </si>
  <si>
    <t>HEVC</t>
    <phoneticPr fontId="1" type="noConversion"/>
  </si>
  <si>
    <t>H264</t>
    <phoneticPr fontId="1" type="noConversion"/>
  </si>
  <si>
    <t>PMF_M4_0_a</t>
    <phoneticPr fontId="1" type="noConversion"/>
  </si>
  <si>
    <t>PMF_M8</t>
    <phoneticPr fontId="1" type="noConversion"/>
  </si>
  <si>
    <t>PMF_F8</t>
    <phoneticPr fontId="1" type="noConversion"/>
  </si>
  <si>
    <t>264PMF c0 round0</t>
    <phoneticPr fontId="1" type="noConversion"/>
  </si>
  <si>
    <t>tqitq16x16 input</t>
    <phoneticPr fontId="1" type="noConversion"/>
  </si>
  <si>
    <t>INTER_PK8</t>
  </si>
  <si>
    <t>PMF_16F8_0</t>
    <phoneticPr fontId="1" type="noConversion"/>
  </si>
  <si>
    <t>PMF_16F8_1</t>
  </si>
  <si>
    <t>PMF_16F8_2</t>
  </si>
  <si>
    <t>PMF_16F8_3</t>
  </si>
  <si>
    <t>PMF_16M8_0</t>
    <phoneticPr fontId="1" type="noConversion"/>
  </si>
  <si>
    <t>PMF_16M8_1</t>
  </si>
  <si>
    <t>PMF_16M8_2</t>
  </si>
  <si>
    <t>PMF_16M8_3</t>
  </si>
  <si>
    <t>264PMF c1 round0</t>
    <phoneticPr fontId="1" type="noConversion"/>
  </si>
  <si>
    <t>PMF_8M4_0</t>
  </si>
  <si>
    <t>PMF_8F4_0</t>
  </si>
  <si>
    <t>PMF_8M4_1</t>
  </si>
  <si>
    <t>PMF_8M4_2</t>
  </si>
  <si>
    <t>PMF_8M4_3</t>
  </si>
  <si>
    <t>PMF_8F4_1</t>
  </si>
  <si>
    <t>PMF_8F4_2</t>
  </si>
  <si>
    <t>PMF_8F4_3</t>
  </si>
  <si>
    <t>PMF_16M4_0</t>
    <phoneticPr fontId="1" type="noConversion"/>
  </si>
  <si>
    <t>PMF_16M4_1</t>
  </si>
  <si>
    <t>PMF_16M4_2</t>
  </si>
  <si>
    <t>PMF_16M4_3</t>
  </si>
  <si>
    <t>PMF_16F4_0</t>
    <phoneticPr fontId="1" type="noConversion"/>
  </si>
  <si>
    <t>PMF_16F4_1</t>
  </si>
  <si>
    <t>PMF_16F4_2</t>
  </si>
  <si>
    <t>PMF_16F4_3</t>
  </si>
  <si>
    <t>264PMF UV c0 round0</t>
    <phoneticPr fontId="1" type="noConversion"/>
  </si>
  <si>
    <t>chroma</t>
    <phoneticPr fontId="1" type="noConversion"/>
  </si>
  <si>
    <t>PMF_M4_0</t>
    <phoneticPr fontId="1" type="noConversion"/>
  </si>
  <si>
    <t>PMF_F4_0</t>
    <phoneticPr fontId="1" type="noConversion"/>
  </si>
  <si>
    <t>INTER_PK4</t>
    <phoneticPr fontId="1" type="noConversion"/>
  </si>
  <si>
    <t>264PMF UV c1 round0</t>
    <phoneticPr fontId="1" type="noConversion"/>
  </si>
  <si>
    <t>PMF_M4_1</t>
  </si>
  <si>
    <t>TQITQ_M4</t>
  </si>
  <si>
    <t>PMF_M4_2</t>
  </si>
  <si>
    <t>PMF_M4_3</t>
  </si>
  <si>
    <t>TQITQ_F4</t>
  </si>
  <si>
    <t>PMF_F4_3</t>
  </si>
  <si>
    <t>pixel 读取接口</t>
    <phoneticPr fontId="1" type="noConversion"/>
  </si>
  <si>
    <t>y c0</t>
    <phoneticPr fontId="1" type="noConversion"/>
  </si>
  <si>
    <t>pixel 需求个数</t>
    <phoneticPr fontId="1" type="noConversion"/>
  </si>
  <si>
    <t>pixel 读取个数</t>
    <phoneticPr fontId="1" type="noConversion"/>
  </si>
  <si>
    <t>2x15</t>
    <phoneticPr fontId="1" type="noConversion"/>
  </si>
  <si>
    <t>y c0  16*1</t>
    <phoneticPr fontId="1" type="noConversion"/>
  </si>
  <si>
    <t>y c0  8*2</t>
    <phoneticPr fontId="1" type="noConversion"/>
  </si>
  <si>
    <t>2x32</t>
    <phoneticPr fontId="1" type="noConversion"/>
  </si>
  <si>
    <t>ram 颗粒度(pixel)</t>
    <phoneticPr fontId="1" type="noConversion"/>
  </si>
  <si>
    <t>y c1  16*1</t>
    <phoneticPr fontId="1" type="noConversion"/>
  </si>
  <si>
    <t>uv c0  8*1</t>
    <phoneticPr fontId="1" type="noConversion"/>
  </si>
  <si>
    <t>uv c0  4*2</t>
    <phoneticPr fontId="1" type="noConversion"/>
  </si>
  <si>
    <t>uv c1  8*1</t>
    <phoneticPr fontId="1" type="noConversion"/>
  </si>
  <si>
    <t>2x16</t>
    <phoneticPr fontId="1" type="noConversion"/>
  </si>
  <si>
    <t>2x7</t>
    <phoneticPr fontId="1" type="noConversion"/>
  </si>
  <si>
    <t xml:space="preserve">总结： Y 需要 4片 16x1 ram; UV 需要4片 8x1 ram; </t>
    <phoneticPr fontId="1" type="noConversion"/>
  </si>
  <si>
    <t>PMF_M16</t>
    <phoneticPr fontId="1" type="noConversion"/>
  </si>
  <si>
    <t>PMF_F16</t>
    <phoneticPr fontId="1" type="noConversion"/>
  </si>
  <si>
    <t>以112*112 空间统计</t>
    <phoneticPr fontId="1" type="noConversion"/>
  </si>
  <si>
    <t>Y</t>
    <phoneticPr fontId="1" type="noConversion"/>
  </si>
  <si>
    <t>总需求pixel</t>
    <phoneticPr fontId="1" type="noConversion"/>
  </si>
  <si>
    <t>bit</t>
    <phoneticPr fontId="1" type="noConversion"/>
  </si>
  <si>
    <t xml:space="preserve">ram 片 </t>
    <phoneticPr fontId="1" type="noConversion"/>
  </si>
  <si>
    <t>ram深度</t>
    <phoneticPr fontId="1" type="noConversion"/>
  </si>
  <si>
    <t>UV</t>
    <phoneticPr fontId="1" type="noConversion"/>
  </si>
  <si>
    <t>chanel</t>
    <phoneticPr fontId="1" type="noConversion"/>
  </si>
  <si>
    <t>ram 宽度（pixel)</t>
    <phoneticPr fontId="1" type="noConversion"/>
  </si>
  <si>
    <t>ram 宽度 (pixel)</t>
    <phoneticPr fontId="1" type="noConversion"/>
  </si>
  <si>
    <t>深度</t>
    <phoneticPr fontId="1" type="noConversion"/>
  </si>
  <si>
    <t>y c1</t>
    <phoneticPr fontId="1" type="noConversion"/>
  </si>
  <si>
    <t>可能利用复用节省</t>
    <phoneticPr fontId="1" type="noConversion"/>
  </si>
  <si>
    <t>uv c0</t>
    <phoneticPr fontId="1" type="noConversion"/>
  </si>
  <si>
    <t>x</t>
    <phoneticPr fontId="1" type="noConversion"/>
  </si>
  <si>
    <t>uv c1</t>
    <phoneticPr fontId="1" type="noConversion"/>
  </si>
  <si>
    <t>输出缓存 （单口，独享）</t>
    <phoneticPr fontId="1" type="noConversion"/>
  </si>
  <si>
    <t>基本用满</t>
    <phoneticPr fontId="1" type="noConversion"/>
  </si>
  <si>
    <t>输入REF PIXEL RAM (单口，独享，每拍输入）</t>
    <phoneticPr fontId="1" type="noConversion"/>
  </si>
  <si>
    <t>8x8</t>
    <phoneticPr fontId="1" type="noConversion"/>
  </si>
  <si>
    <t>16x16</t>
    <phoneticPr fontId="1" type="noConversion"/>
  </si>
  <si>
    <t>4x4</t>
    <phoneticPr fontId="1" type="noConversion"/>
  </si>
  <si>
    <t>8x2  -0</t>
    <phoneticPr fontId="1" type="noConversion"/>
  </si>
  <si>
    <t>4x4  -0</t>
    <phoneticPr fontId="1" type="noConversion"/>
  </si>
  <si>
    <t>Y</t>
    <phoneticPr fontId="1" type="noConversion"/>
  </si>
  <si>
    <t>32x32</t>
    <phoneticPr fontId="1" type="noConversion"/>
  </si>
  <si>
    <t>16x1 -0</t>
    <phoneticPr fontId="1" type="noConversion"/>
  </si>
  <si>
    <t>16x1 -32</t>
    <phoneticPr fontId="1" type="noConversion"/>
  </si>
  <si>
    <t>UV</t>
    <phoneticPr fontId="1" type="noConversion"/>
  </si>
  <si>
    <t>H265</t>
    <phoneticPr fontId="1" type="noConversion"/>
  </si>
  <si>
    <t>8x1 -0</t>
    <phoneticPr fontId="1" type="noConversion"/>
  </si>
  <si>
    <t>8x1 -16</t>
    <phoneticPr fontId="1" type="noConversion"/>
  </si>
  <si>
    <t>4x4 channel</t>
    <phoneticPr fontId="1" type="noConversion"/>
  </si>
  <si>
    <t>H264</t>
    <phoneticPr fontId="1" type="noConversion"/>
  </si>
  <si>
    <t>凑4笔输出 4x4 channel</t>
    <phoneticPr fontId="1" type="noConversion"/>
  </si>
  <si>
    <t>U 8x1 -0</t>
    <phoneticPr fontId="1" type="noConversion"/>
  </si>
  <si>
    <t>V 8x1 -0</t>
    <phoneticPr fontId="1" type="noConversion"/>
  </si>
  <si>
    <t>8x8 channel</t>
    <phoneticPr fontId="1" type="noConversion"/>
  </si>
  <si>
    <t>重组输出顺序</t>
    <phoneticPr fontId="1" type="noConversion"/>
  </si>
  <si>
    <t xml:space="preserve">64x64 </t>
    <phoneticPr fontId="1" type="noConversion"/>
  </si>
  <si>
    <t>以4个独立的 32x32 计算</t>
    <phoneticPr fontId="1" type="noConversion"/>
  </si>
  <si>
    <t xml:space="preserve">32x32 </t>
    <phoneticPr fontId="1" type="noConversion"/>
  </si>
  <si>
    <t>以4个独立的16x16 计算</t>
    <phoneticPr fontId="1" type="noConversion"/>
  </si>
  <si>
    <t>16x1 -1</t>
    <phoneticPr fontId="1" type="noConversion"/>
  </si>
  <si>
    <t>PMF_M32_0_a</t>
    <phoneticPr fontId="1" type="noConversion"/>
  </si>
  <si>
    <t>PMF_M32_0_b</t>
    <phoneticPr fontId="1" type="noConversion"/>
  </si>
  <si>
    <t>片数</t>
    <phoneticPr fontId="1" type="noConversion"/>
  </si>
  <si>
    <t>套</t>
    <phoneticPr fontId="1" type="noConversion"/>
  </si>
  <si>
    <t>Bit</t>
    <phoneticPr fontId="1" type="noConversion"/>
  </si>
  <si>
    <t>50KB</t>
    <phoneticPr fontId="1" type="noConversion"/>
  </si>
  <si>
    <t>接口</t>
    <phoneticPr fontId="1" type="noConversion"/>
  </si>
  <si>
    <t>name</t>
    <phoneticPr fontId="1" type="noConversion"/>
  </si>
  <si>
    <t>类型</t>
    <phoneticPr fontId="1" type="noConversion"/>
  </si>
  <si>
    <t>width</t>
    <phoneticPr fontId="1" type="noConversion"/>
  </si>
  <si>
    <t>note</t>
    <phoneticPr fontId="1" type="noConversion"/>
  </si>
  <si>
    <t>normal</t>
    <phoneticPr fontId="1" type="noConversion"/>
  </si>
  <si>
    <t>clk</t>
    <phoneticPr fontId="1" type="noConversion"/>
  </si>
  <si>
    <t>aresetn</t>
    <phoneticPr fontId="1" type="noConversion"/>
  </si>
  <si>
    <t>vctrl2pmf_ctu_start</t>
  </si>
  <si>
    <t>pmf2vctrl_ctu_end</t>
  </si>
  <si>
    <t>direction</t>
    <phoneticPr fontId="1" type="noConversion"/>
  </si>
  <si>
    <t>in</t>
    <phoneticPr fontId="1" type="noConversion"/>
  </si>
  <si>
    <t>out</t>
    <phoneticPr fontId="1" type="noConversion"/>
  </si>
  <si>
    <t>vctrl2pmf_info</t>
  </si>
  <si>
    <t>vctrl2pmf_info</t>
    <phoneticPr fontId="1" type="noConversion"/>
  </si>
  <si>
    <t>codec</t>
    <phoneticPr fontId="1" type="noConversion"/>
  </si>
  <si>
    <t>0=264; 1=265; 2=266;</t>
    <phoneticPr fontId="1" type="noConversion"/>
  </si>
  <si>
    <t>csamp</t>
    <phoneticPr fontId="1" type="noConversion"/>
  </si>
  <si>
    <t>0/1/2/3 = 400/420/422/.440</t>
    <phoneticPr fontId="1" type="noConversion"/>
  </si>
  <si>
    <t>start must wait for end=1;</t>
    <phoneticPr fontId="1" type="noConversion"/>
  </si>
  <si>
    <t>pred_mode</t>
    <phoneticPr fontId="1" type="noConversion"/>
  </si>
  <si>
    <t>0=P; 1=B;</t>
    <phoneticPr fontId="1" type="noConversion"/>
  </si>
  <si>
    <t>bit_depth</t>
    <phoneticPr fontId="1" type="noConversion"/>
  </si>
  <si>
    <t>0=8bit; 1=10bit;</t>
    <phoneticPr fontId="1" type="noConversion"/>
  </si>
  <si>
    <t>vctrl</t>
    <phoneticPr fontId="1" type="noConversion"/>
  </si>
  <si>
    <t>mvp</t>
    <phoneticPr fontId="1" type="noConversion"/>
  </si>
  <si>
    <t>l1_predflag</t>
    <phoneticPr fontId="1" type="noConversion"/>
  </si>
  <si>
    <t>l0_predflag</t>
    <phoneticPr fontId="1" type="noConversion"/>
  </si>
  <si>
    <t>l1_mvy</t>
    <phoneticPr fontId="1" type="noConversion"/>
  </si>
  <si>
    <t>l1_mvx</t>
    <phoneticPr fontId="1" type="noConversion"/>
  </si>
  <si>
    <t>l0_mvy</t>
    <phoneticPr fontId="1" type="noConversion"/>
  </si>
  <si>
    <t>l0_mvx</t>
    <phoneticPr fontId="1" type="noConversion"/>
  </si>
  <si>
    <t>l1_refidx</t>
    <phoneticPr fontId="1" type="noConversion"/>
  </si>
  <si>
    <t>l0_refidx</t>
    <phoneticPr fontId="1" type="noConversion"/>
  </si>
  <si>
    <t>输出SRC ram 配置</t>
    <phoneticPr fontId="1" type="noConversion"/>
  </si>
  <si>
    <t>方案：对于 32x32， 使用 64x64的SRC ram 即可，和intra 共用。 对于 16x16 和 8x8 和4x4， 使用 16x16 reg 阵列 （因为 src ram 没法同时支持core0 和 core 1），每个16x16 使用完毕后进行reload(高优先级）</t>
    <phoneticPr fontId="1" type="noConversion"/>
  </si>
  <si>
    <t>ram name</t>
    <phoneticPr fontId="1" type="noConversion"/>
  </si>
  <si>
    <t>SRC_RAM</t>
    <phoneticPr fontId="1" type="noConversion"/>
  </si>
  <si>
    <t>深度</t>
    <phoneticPr fontId="1" type="noConversion"/>
  </si>
  <si>
    <t>片数</t>
    <phoneticPr fontId="1" type="noConversion"/>
  </si>
  <si>
    <t>SRC_RAM_Y</t>
    <phoneticPr fontId="1" type="noConversion"/>
  </si>
  <si>
    <t>宽度(pixel)</t>
    <phoneticPr fontId="1" type="noConversion"/>
  </si>
  <si>
    <t>存储整个64x64</t>
    <phoneticPr fontId="1" type="noConversion"/>
  </si>
  <si>
    <t>SRC_RAM_UV</t>
    <phoneticPr fontId="1" type="noConversion"/>
  </si>
  <si>
    <t>REG_Y</t>
    <phoneticPr fontId="1" type="noConversion"/>
  </si>
  <si>
    <t>存储整个16x16</t>
    <phoneticPr fontId="1" type="noConversion"/>
  </si>
  <si>
    <t>REG_UV</t>
    <phoneticPr fontId="1" type="noConversion"/>
  </si>
  <si>
    <t>存储整个32x32x2</t>
    <phoneticPr fontId="1" type="noConversion"/>
  </si>
  <si>
    <t>存储整个8x8x2</t>
    <phoneticPr fontId="1" type="noConversion"/>
  </si>
  <si>
    <t>sdw_req_x</t>
    <phoneticPr fontId="1" type="noConversion"/>
  </si>
  <si>
    <t>sdw_req_y</t>
    <phoneticPr fontId="1" type="noConversion"/>
  </si>
  <si>
    <t>搜索窗起始点</t>
    <phoneticPr fontId="1" type="noConversion"/>
  </si>
  <si>
    <t>可能可以缩减</t>
    <phoneticPr fontId="1" type="noConversion"/>
  </si>
  <si>
    <t>pmf2mvp_pk_valid</t>
    <phoneticPr fontId="1" type="noConversion"/>
  </si>
  <si>
    <t>pmf2mvp_pk</t>
    <phoneticPr fontId="1" type="noConversion"/>
  </si>
  <si>
    <t>H264 only, 反馈inter 8x8 pk 结果。</t>
    <phoneticPr fontId="1" type="noConversion"/>
  </si>
  <si>
    <t>FME</t>
    <phoneticPr fontId="1" type="noConversion"/>
  </si>
  <si>
    <t>SEL</t>
    <phoneticPr fontId="1" type="noConversion"/>
  </si>
  <si>
    <t>pmf2sel_pk_valid</t>
    <phoneticPr fontId="1" type="noConversion"/>
  </si>
  <si>
    <t>pmf2sel_pk</t>
    <phoneticPr fontId="1" type="noConversion"/>
  </si>
  <si>
    <t>blk_mode</t>
    <phoneticPr fontId="1" type="noConversion"/>
  </si>
  <si>
    <t>l1_mvdy</t>
    <phoneticPr fontId="1" type="noConversion"/>
  </si>
  <si>
    <t>l1_mvdx</t>
    <phoneticPr fontId="1" type="noConversion"/>
  </si>
  <si>
    <t>l0_mvdy</t>
    <phoneticPr fontId="1" type="noConversion"/>
  </si>
  <si>
    <t>l0_mvdx</t>
    <phoneticPr fontId="1" type="noConversion"/>
  </si>
  <si>
    <t>TQITQ</t>
    <phoneticPr fontId="1" type="noConversion"/>
  </si>
  <si>
    <t>fme2pmf_fmv_valid</t>
    <phoneticPr fontId="1" type="noConversion"/>
  </si>
  <si>
    <t>fme2pmf_fmv</t>
  </si>
  <si>
    <t>REF_RAM</t>
    <phoneticPr fontId="1" type="noConversion"/>
  </si>
  <si>
    <t>ref_pixel_y_csn</t>
    <phoneticPr fontId="1" type="noConversion"/>
  </si>
  <si>
    <t>ref_pixel_y_wen</t>
    <phoneticPr fontId="1" type="noConversion"/>
  </si>
  <si>
    <t>ref_pixel_y_addr</t>
    <phoneticPr fontId="1" type="noConversion"/>
  </si>
  <si>
    <t>ref_pixel_y_wdata</t>
    <phoneticPr fontId="1" type="noConversion"/>
  </si>
  <si>
    <t>ref_pixel_y_rdata</t>
    <phoneticPr fontId="1" type="noConversion"/>
  </si>
  <si>
    <t>ref_pixel_uv_csn</t>
    <phoneticPr fontId="1" type="noConversion"/>
  </si>
  <si>
    <t>ref_pixel_uv_wen</t>
    <phoneticPr fontId="1" type="noConversion"/>
  </si>
  <si>
    <t>ref_pixel_uv_addr</t>
    <phoneticPr fontId="1" type="noConversion"/>
  </si>
  <si>
    <t>ref_pixel_uv_wdata</t>
    <phoneticPr fontId="1" type="noConversion"/>
  </si>
  <si>
    <t>ref_pixel_uv_rdata</t>
    <phoneticPr fontId="1" type="noConversion"/>
  </si>
  <si>
    <t>[7:0]</t>
  </si>
  <si>
    <t>[15:0][9:0]</t>
  </si>
  <si>
    <t>[7:0][9:0]</t>
  </si>
  <si>
    <t>src_pixel_y_csn</t>
  </si>
  <si>
    <t>src_pixel_y_wen</t>
  </si>
  <si>
    <t>src_pixel_y_addr</t>
  </si>
  <si>
    <t>src_pixel_y_wdata</t>
  </si>
  <si>
    <t>src_pixel_y_rdata</t>
  </si>
  <si>
    <t>src_pixel_uv_csn</t>
  </si>
  <si>
    <t>src_pixel_uv_wen</t>
  </si>
  <si>
    <t>src_pixel_uv_addr</t>
  </si>
  <si>
    <t>src_pixel_uv_wdata</t>
  </si>
  <si>
    <t>src_pixel_uv_rdata</t>
  </si>
  <si>
    <t>BUF_RAM</t>
    <phoneticPr fontId="1" type="noConversion"/>
  </si>
  <si>
    <t>待定</t>
    <phoneticPr fontId="1" type="noConversion"/>
  </si>
  <si>
    <t>vctrl2pmf_info_t</t>
    <phoneticPr fontId="1" type="noConversion"/>
  </si>
  <si>
    <t>in</t>
    <phoneticPr fontId="1" type="noConversion"/>
  </si>
  <si>
    <t>0,1,2,3-》 8/16/32/64</t>
    <phoneticPr fontId="1" type="noConversion"/>
  </si>
  <si>
    <t>pmf2sel_pk</t>
    <phoneticPr fontId="1" type="noConversion"/>
  </si>
  <si>
    <t>out</t>
    <phoneticPr fontId="1" type="noConversion"/>
  </si>
  <si>
    <t>blk_idx</t>
    <phoneticPr fontId="1" type="noConversion"/>
  </si>
  <si>
    <t>pmf2sel_pred_valid</t>
    <phoneticPr fontId="1" type="noConversion"/>
  </si>
  <si>
    <t>pmf2sel_pred_ready</t>
    <phoneticPr fontId="1" type="noConversion"/>
  </si>
  <si>
    <t>pmf2sel_pred</t>
    <phoneticPr fontId="1" type="noConversion"/>
  </si>
  <si>
    <t>pmf2tqitq_res_valid</t>
  </si>
  <si>
    <t>pmf2tqitq_res_ready</t>
  </si>
  <si>
    <t>pmf2tqitq_res</t>
  </si>
  <si>
    <t>pmf2fme_fmv_ready</t>
    <phoneticPr fontId="1" type="noConversion"/>
  </si>
  <si>
    <t>4x fme2pmf_fmv</t>
    <phoneticPr fontId="1" type="noConversion"/>
  </si>
  <si>
    <t>pmf2sel_pred_t</t>
    <phoneticPr fontId="1" type="noConversion"/>
  </si>
  <si>
    <t>0/1/2/3 = FME/M0/M1/M2</t>
    <phoneticPr fontId="1" type="noConversion"/>
  </si>
  <si>
    <t>merge_idx</t>
    <phoneticPr fontId="1" type="noConversion"/>
  </si>
  <si>
    <t>tqitq2pmf_bd_valid</t>
    <phoneticPr fontId="1" type="noConversion"/>
  </si>
  <si>
    <t>tqitq2pmf_bd</t>
    <phoneticPr fontId="1" type="noConversion"/>
  </si>
  <si>
    <t>pmf2tqitq_res_t</t>
    <phoneticPr fontId="1" type="noConversion"/>
  </si>
  <si>
    <t>tqitq2pmf_bd_t</t>
    <phoneticPr fontId="1" type="noConversion"/>
  </si>
  <si>
    <t>inf_blk_x</t>
  </si>
  <si>
    <t>inf_blk_y</t>
  </si>
  <si>
    <t>bits_data</t>
  </si>
  <si>
    <t>T_RDO_RESBITS</t>
  </si>
  <si>
    <t>bits_ncoeffs</t>
  </si>
  <si>
    <t>T_RDO_NCOEFFS</t>
  </si>
  <si>
    <t>dist_data</t>
  </si>
  <si>
    <t>zdist_data</t>
  </si>
  <si>
    <t>T_RDO_DIST</t>
    <phoneticPr fontId="1" type="noConversion"/>
  </si>
  <si>
    <t>bits_blk_x</t>
  </si>
  <si>
    <t>bits_blk_y</t>
  </si>
  <si>
    <t>bits_pu_size</t>
  </si>
  <si>
    <t>bits_rdo_type</t>
  </si>
  <si>
    <t>bits_comp</t>
  </si>
  <si>
    <t>bits_transform_skip</t>
  </si>
  <si>
    <t>fme2pmf_fmv_t</t>
    <phoneticPr fontId="1" type="noConversion"/>
  </si>
  <si>
    <t>cand_idx</t>
    <phoneticPr fontId="1" type="noConversion"/>
  </si>
  <si>
    <t>0/1/2/3/4-》 4/4/8/16/32</t>
    <phoneticPr fontId="1" type="noConversion"/>
  </si>
  <si>
    <t>5x pmf2tqitq_res_t</t>
    <phoneticPr fontId="1" type="noConversion"/>
  </si>
  <si>
    <t>5x tqitq2pmf_bd</t>
    <phoneticPr fontId="1" type="noConversion"/>
  </si>
  <si>
    <t>5x pmf2sel_pred_t</t>
    <phoneticPr fontId="1" type="noConversion"/>
  </si>
  <si>
    <t>pmf2mvp_mmvp_ack</t>
    <phoneticPr fontId="1" type="noConversion"/>
  </si>
  <si>
    <t>1x pmf2sel_pk_t</t>
    <phoneticPr fontId="1" type="noConversion"/>
  </si>
  <si>
    <t>mvp2pmf_mmvp_ack_info</t>
    <phoneticPr fontId="1" type="noConversion"/>
  </si>
  <si>
    <t>mvp2pmf_amvp_ack</t>
    <phoneticPr fontId="1" type="noConversion"/>
  </si>
  <si>
    <t>pmf2mvp_req</t>
    <phoneticPr fontId="1" type="noConversion"/>
  </si>
  <si>
    <t>pmf2mvp_mmvp_req</t>
    <phoneticPr fontId="1" type="noConversion"/>
  </si>
  <si>
    <t>pmf2mvp_mmvp_req_info</t>
    <phoneticPr fontId="1" type="noConversion"/>
  </si>
  <si>
    <t>pmf2mvp_amvp_req</t>
    <phoneticPr fontId="1" type="noConversion"/>
  </si>
  <si>
    <t>pmf2mvp_amvp_req_info</t>
    <phoneticPr fontId="1" type="noConversion"/>
  </si>
  <si>
    <t>pmf2mvp_req_t</t>
    <phoneticPr fontId="1" type="noConversion"/>
  </si>
  <si>
    <t>mvp2pmf_amvp_ack_info</t>
    <phoneticPr fontId="1" type="noConversion"/>
  </si>
  <si>
    <t>mvp2pmf_ack</t>
    <phoneticPr fontId="1" type="noConversion"/>
  </si>
  <si>
    <t>blk_size</t>
    <phoneticPr fontId="1" type="noConversion"/>
  </si>
  <si>
    <t>8/16/32/64</t>
    <phoneticPr fontId="1" type="noConversion"/>
  </si>
  <si>
    <t>z-scan</t>
    <phoneticPr fontId="1" type="noConversion"/>
  </si>
  <si>
    <t>TQITQ_F4</t>
    <phoneticPr fontId="1" type="noConversion"/>
  </si>
  <si>
    <t>TQITQ_M4</t>
    <phoneticPr fontId="1" type="noConversion"/>
  </si>
  <si>
    <t>0：反馈 N-2 的两个cand; 1 ： 反馈N-1 的一个</t>
    <phoneticPr fontId="1" type="noConversion"/>
  </si>
  <si>
    <t>2x mvp2pmf_ack</t>
    <phoneticPr fontId="1" type="noConversion"/>
  </si>
  <si>
    <t>pmf2mvp_pk_t</t>
    <phoneticPr fontId="1" type="noConversion"/>
  </si>
  <si>
    <t>blk_x</t>
    <phoneticPr fontId="1" type="noConversion"/>
  </si>
  <si>
    <t>blk_y</t>
    <phoneticPr fontId="1" type="noConversion"/>
  </si>
  <si>
    <t>comp</t>
    <phoneticPr fontId="1" type="noConversion"/>
  </si>
  <si>
    <t>Y/U/V</t>
    <phoneticPr fontId="1" type="noConversion"/>
  </si>
  <si>
    <t>inf_qp</t>
    <phoneticPr fontId="1" type="noConversion"/>
  </si>
  <si>
    <t>inf_scan</t>
    <phoneticPr fontId="1" type="noConversion"/>
  </si>
  <si>
    <t>inf_blk_x</t>
    <phoneticPr fontId="1" type="noConversion"/>
  </si>
  <si>
    <t>inf_blk_y</t>
    <phoneticPr fontId="1" type="noConversion"/>
  </si>
  <si>
    <t>inf_pu_size</t>
    <phoneticPr fontId="1" type="noConversion"/>
  </si>
  <si>
    <t>inf_rdo_type</t>
    <phoneticPr fontId="1" type="noConversion"/>
  </si>
  <si>
    <t>inf_comp</t>
    <phoneticPr fontId="1" type="noConversion"/>
  </si>
  <si>
    <t>inf_transform_skip</t>
    <phoneticPr fontId="1" type="noConversion"/>
  </si>
  <si>
    <t>res_data</t>
    <phoneticPr fontId="1" type="noConversion"/>
  </si>
  <si>
    <t>16*TQ_RDATA -1</t>
    <phoneticPr fontId="1" type="noConversion"/>
  </si>
  <si>
    <t>size</t>
    <phoneticPr fontId="1" type="noConversion"/>
  </si>
  <si>
    <t>transform_skip</t>
    <phoneticPr fontId="1" type="noConversion"/>
  </si>
  <si>
    <t>blk_mode</t>
    <phoneticPr fontId="1" type="noConversion"/>
  </si>
  <si>
    <t>tu_mode</t>
    <phoneticPr fontId="1" type="noConversion"/>
  </si>
  <si>
    <t>for H265 8x8 ：0=4x4；1 = 8x8;  for H264  16x16: 0=4x4；1 = 8x8;</t>
    <phoneticPr fontId="1" type="noConversion"/>
  </si>
  <si>
    <t>0/1/2/3/4-》 4/8/16/32/64(blk size)</t>
    <phoneticPr fontId="1" type="noConversion"/>
  </si>
  <si>
    <t>cost</t>
    <phoneticPr fontId="1" type="noConversion"/>
  </si>
  <si>
    <t>COST_WIDTH</t>
    <phoneticPr fontId="1" type="noConversion"/>
  </si>
  <si>
    <t>inf_blk_mode</t>
    <phoneticPr fontId="1" type="noConversion"/>
  </si>
  <si>
    <t>4x4 U</t>
    <phoneticPr fontId="1" type="noConversion"/>
  </si>
  <si>
    <t>4x4 V</t>
    <phoneticPr fontId="1" type="noConversion"/>
  </si>
  <si>
    <t>原始插值顺序</t>
    <phoneticPr fontId="1" type="noConversion"/>
  </si>
  <si>
    <t>[2:0][2:0]</t>
    <phoneticPr fontId="1" type="noConversion"/>
  </si>
  <si>
    <t>实时的3个 mmvp 对应的merge idx (cand_idx =0 时，反馈的N-2的用于提前PK;  cand_idx =1时反馈的 N-1 的用于最终PK和输出</t>
    <phoneticPr fontId="1" type="noConversion"/>
  </si>
  <si>
    <t>depend</t>
    <phoneticPr fontId="1" type="noConversion"/>
  </si>
  <si>
    <t>merge</t>
    <phoneticPr fontId="1" type="noConversion"/>
  </si>
  <si>
    <t>0:  amvp ; 1:merge</t>
    <phoneticPr fontId="1" type="noConversion"/>
  </si>
  <si>
    <t>codec</t>
    <phoneticPr fontId="1" type="noConversion"/>
  </si>
  <si>
    <t>color</t>
    <phoneticPr fontId="1" type="noConversion"/>
  </si>
  <si>
    <t>cu_size</t>
    <phoneticPr fontId="1" type="noConversion"/>
  </si>
  <si>
    <t>tu_size</t>
    <phoneticPr fontId="1" type="noConversion"/>
  </si>
  <si>
    <t>RDO</t>
    <phoneticPr fontId="1" type="noConversion"/>
  </si>
  <si>
    <t>64x64</t>
    <phoneticPr fontId="1" type="noConversion"/>
  </si>
  <si>
    <t>mode</t>
    <phoneticPr fontId="1" type="noConversion"/>
  </si>
  <si>
    <t>M0</t>
    <phoneticPr fontId="1" type="noConversion"/>
  </si>
  <si>
    <t>M1</t>
  </si>
  <si>
    <t>M1</t>
    <phoneticPr fontId="1" type="noConversion"/>
  </si>
  <si>
    <t>M2</t>
    <phoneticPr fontId="1" type="noConversion"/>
  </si>
  <si>
    <t>F</t>
    <phoneticPr fontId="1" type="noConversion"/>
  </si>
  <si>
    <t>32X32</t>
    <phoneticPr fontId="1" type="noConversion"/>
  </si>
  <si>
    <t>SAD</t>
    <phoneticPr fontId="1" type="noConversion"/>
  </si>
  <si>
    <t>16x17</t>
    <phoneticPr fontId="1" type="noConversion"/>
  </si>
  <si>
    <t>PMF_M16_1_c</t>
    <phoneticPr fontId="1" type="noConversion"/>
  </si>
  <si>
    <t>PMF_F16_1</t>
    <phoneticPr fontId="1" type="noConversion"/>
  </si>
  <si>
    <t>PMF_F16_2</t>
    <phoneticPr fontId="1" type="noConversion"/>
  </si>
  <si>
    <t>PMF_M16_2_c</t>
    <phoneticPr fontId="1" type="noConversion"/>
  </si>
  <si>
    <t>comment</t>
    <phoneticPr fontId="1" type="noConversion"/>
  </si>
  <si>
    <t>PMF_F8_3</t>
    <phoneticPr fontId="1" type="noConversion"/>
  </si>
  <si>
    <t>需要在pmf中做4个bit/dist 的累加</t>
    <phoneticPr fontId="1" type="noConversion"/>
  </si>
  <si>
    <t>PMF_M8_2_c</t>
    <phoneticPr fontId="1" type="noConversion"/>
  </si>
  <si>
    <t>PMF_M8_3_c</t>
    <phoneticPr fontId="1" type="noConversion"/>
  </si>
  <si>
    <t>last</t>
    <phoneticPr fontId="1" type="noConversion"/>
  </si>
  <si>
    <t>[1:0][1:0][3:0]</t>
  </si>
  <si>
    <t>[1:0][1:0][3:0][7:0]</t>
  </si>
  <si>
    <t>[1:0][1:0][3:0][15:0][9:0]</t>
  </si>
  <si>
    <t>[1:0][1:0][3:0][7:0][9:0]</t>
  </si>
  <si>
    <t>8bit : TQ_RDATA=9
10bit :TQ_RDATA=11
4*4 ：4*4接收
8*8：8*2接收
16*16、32*32：16*1接收</t>
    <phoneticPr fontId="1" type="noConversion"/>
  </si>
  <si>
    <t>与最后数据信号同cycle，对于intra来说整个pu结束给last；对于pmf，inter8*8每个4x4给，luma：inter64每个32给，chroma32每个16给</t>
    <phoneticPr fontId="1" type="noConversion"/>
  </si>
  <si>
    <t>0：disable
1：enable ，fdct，idct bypass
intra 2个TQITQ4，一个做transform==0；一个做transform==1；
pmf用一套TQITQ4，intra4*4分2个cycle传同样的数据，transform一个为0，一个为1；inter8*8 拆成独立的4x4，4个skip=0的4x4和4个skip=1的4x4， 每个4x4给对应的bits和dist，pmf自己做累加；</t>
    <phoneticPr fontId="1" type="noConversion"/>
  </si>
  <si>
    <t>0：luma   1：chroma-u   2：chroma-v</t>
    <phoneticPr fontId="1" type="noConversion"/>
  </si>
  <si>
    <t>intra block:0,  inter block:1</t>
    <phoneticPr fontId="1" type="noConversion"/>
  </si>
  <si>
    <t>0：size
1：size*2
2：size*4
H264 TQITQ4 ：0 ：4，1：8，2：16
H264 TQITQ8 ：0：8，1：16
H265 TQITQ4： 0：4，1：8</t>
    <phoneticPr fontId="1" type="noConversion"/>
  </si>
  <si>
    <t>FME/M0/M1/M2;(TQITQ自己不使用，透传给pmf使用)intra、pmf复用</t>
    <phoneticPr fontId="1" type="noConversion"/>
  </si>
  <si>
    <t>TU block x coordinate ,4-pix unit</t>
    <phoneticPr fontId="1" type="noConversion"/>
  </si>
  <si>
    <t>TU block y coordinate ,4-pix unit</t>
    <phoneticPr fontId="1" type="noConversion"/>
  </si>
  <si>
    <t>Scan order for coefficient coding:（hevc intra4和intra8三种扫描顺序，其他均为0）
0: up-right
1: horizontal
2: vertical</t>
    <phoneticPr fontId="1" type="noConversion"/>
  </si>
  <si>
    <t>QP used in quantization, 0-51 for 8-bit, 0-63 for 10-bit</t>
    <phoneticPr fontId="1" type="noConversion"/>
  </si>
  <si>
    <t>The number of bits estimated for the residual
[T_RDO_RESBITS-1:0]  bits</t>
    <phoneticPr fontId="1" type="noConversion"/>
  </si>
  <si>
    <t>The number of coefficients that was not quantized to zero
[T_RDO_NCOEFFS-1:0]  ncoeff</t>
    <phoneticPr fontId="1" type="noConversion"/>
  </si>
  <si>
    <t>The distortion calculated for the block
[T_RDO_DIST-1:0]  dist</t>
    <phoneticPr fontId="1" type="noConversion"/>
  </si>
  <si>
    <t>The distortion calculated for the block with all zero residual
[T_RDO_DIST-1:0]  zdist</t>
    <phoneticPr fontId="1" type="noConversion"/>
  </si>
  <si>
    <t>同上</t>
    <phoneticPr fontId="1" type="noConversion"/>
  </si>
  <si>
    <t>8x8</t>
    <phoneticPr fontId="1" type="noConversion"/>
  </si>
  <si>
    <t>16x16</t>
    <phoneticPr fontId="1" type="noConversion"/>
  </si>
  <si>
    <t>32x32</t>
    <phoneticPr fontId="1" type="noConversion"/>
  </si>
  <si>
    <t>64x64</t>
    <phoneticPr fontId="1" type="noConversion"/>
  </si>
  <si>
    <t>cu</t>
    <phoneticPr fontId="1" type="noConversion"/>
  </si>
  <si>
    <t>通道</t>
    <phoneticPr fontId="1" type="noConversion"/>
  </si>
  <si>
    <t>行为</t>
    <phoneticPr fontId="1" type="noConversion"/>
  </si>
  <si>
    <t>H265: 8x2 ； H264: 2x8</t>
    <phoneticPr fontId="1" type="noConversion"/>
  </si>
  <si>
    <t>H265: 16x1 ； H264: 2x8;具体见TQITQ 接口行为</t>
    <phoneticPr fontId="1" type="noConversion"/>
  </si>
  <si>
    <t xml:space="preserve">H265: 16x1 ； </t>
    <phoneticPr fontId="1" type="noConversion"/>
  </si>
  <si>
    <t>H265: 16x1 ；</t>
    <phoneticPr fontId="1" type="noConversion"/>
  </si>
  <si>
    <t>UV</t>
    <phoneticPr fontId="1" type="noConversion"/>
  </si>
  <si>
    <t>TQITQ 算出cu 的结果</t>
    <phoneticPr fontId="1" type="noConversion"/>
  </si>
  <si>
    <t>TS</t>
    <phoneticPr fontId="1" type="noConversion"/>
  </si>
  <si>
    <t>CU_SKIP</t>
    <phoneticPr fontId="1" type="noConversion"/>
  </si>
  <si>
    <t>需要在pmf中先做TS PK, 再做4个bit/dist 的累加</t>
    <phoneticPr fontId="1" type="noConversion"/>
  </si>
  <si>
    <t>qp</t>
    <phoneticPr fontId="1" type="noConversion"/>
  </si>
  <si>
    <t>[4:0][6:0]</t>
    <phoneticPr fontId="1" type="noConversion"/>
  </si>
  <si>
    <t>4个32x32 块 和1个 64x64 块（32以下共用）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</si>
</sst>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EE0E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>
      <alignment vertical="top"/>
    </xf>
    <xf numFmtId="0" fontId="6" fillId="0" borderId="2" xfId="0" applyFont="1" applyBorder="1">
      <alignment vertical="center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3" borderId="13" xfId="0" applyFill="1" applyBorder="1">
      <alignment vertical="center"/>
    </xf>
    <xf numFmtId="0" fontId="10" fillId="0" borderId="16" xfId="0" applyFont="1" applyBorder="1">
      <alignment vertical="center"/>
    </xf>
    <xf numFmtId="0" fontId="1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0" borderId="20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2" fillId="0" borderId="0" xfId="0" applyFont="1">
      <alignment vertical="center"/>
    </xf>
    <xf numFmtId="0" fontId="10" fillId="0" borderId="17" xfId="0" applyFont="1" applyFill="1" applyBorder="1">
      <alignment vertical="center"/>
    </xf>
    <xf numFmtId="0" fontId="0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3" fillId="6" borderId="37" xfId="0" applyFont="1" applyFill="1" applyBorder="1" applyAlignment="1">
      <alignment horizontal="left" vertical="top" wrapText="1"/>
    </xf>
    <xf numFmtId="0" fontId="13" fillId="6" borderId="37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top" wrapText="1"/>
    </xf>
    <xf numFmtId="0" fontId="13" fillId="6" borderId="3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/>
    </xf>
    <xf numFmtId="0" fontId="12" fillId="0" borderId="13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0" fillId="0" borderId="0" xfId="0" applyFont="1" applyBorder="1" applyAlignment="1">
      <alignment horizontal="left" vertical="center" wrapText="1"/>
    </xf>
    <xf numFmtId="0" fontId="0" fillId="0" borderId="22" xfId="0" applyBorder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53</xdr:row>
      <xdr:rowOff>0</xdr:rowOff>
    </xdr:from>
    <xdr:to>
      <xdr:col>17</xdr:col>
      <xdr:colOff>493643</xdr:colOff>
      <xdr:row>59</xdr:row>
      <xdr:rowOff>101973</xdr:rowOff>
    </xdr:to>
    <xdr:sp macro="" textlink="">
      <xdr:nvSpPr>
        <xdr:cNvPr id="18436" name="AutoShape 4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75A1CAF7-EC72-4815-B5F3-4E3F6379D837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96393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55</xdr:row>
      <xdr:rowOff>0</xdr:rowOff>
    </xdr:from>
    <xdr:to>
      <xdr:col>17</xdr:col>
      <xdr:colOff>1303268</xdr:colOff>
      <xdr:row>61</xdr:row>
      <xdr:rowOff>328379</xdr:rowOff>
    </xdr:to>
    <xdr:sp macro="" textlink="">
      <xdr:nvSpPr>
        <xdr:cNvPr id="18437" name="AutoShape 5" descr="https://confluence.armchina.com/download/attachments/187526184/image-2026-1-12_15-48-19.png?version=1&amp;modificationDate=1768204099792&amp;api=v2">
          <a:extLst>
            <a:ext uri="{FF2B5EF4-FFF2-40B4-BE49-F238E27FC236}">
              <a16:creationId xmlns:a16="http://schemas.microsoft.com/office/drawing/2014/main" id="{5EA3A261-8A9F-427B-8611-87F9B486D42E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1372850"/>
          <a:ext cx="1990725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333375</xdr:colOff>
      <xdr:row>61</xdr:row>
      <xdr:rowOff>334618</xdr:rowOff>
    </xdr:to>
    <xdr:sp macro="" textlink="">
      <xdr:nvSpPr>
        <xdr:cNvPr id="18438" name="AutoShape 6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FBF74220-6CB1-4A9E-B16F-C5F65E30F2A1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65544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67</xdr:row>
      <xdr:rowOff>0</xdr:rowOff>
    </xdr:from>
    <xdr:to>
      <xdr:col>17</xdr:col>
      <xdr:colOff>493643</xdr:colOff>
      <xdr:row>73</xdr:row>
      <xdr:rowOff>27891</xdr:rowOff>
    </xdr:to>
    <xdr:sp macro="" textlink="">
      <xdr:nvSpPr>
        <xdr:cNvPr id="18439" name="AutoShape 7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5FE9BCB7-78B0-472F-A0AA-F1018B014A17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168497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74</xdr:row>
      <xdr:rowOff>0</xdr:rowOff>
    </xdr:from>
    <xdr:to>
      <xdr:col>17</xdr:col>
      <xdr:colOff>333375</xdr:colOff>
      <xdr:row>75</xdr:row>
      <xdr:rowOff>140390</xdr:rowOff>
    </xdr:to>
    <xdr:sp macro="" textlink="">
      <xdr:nvSpPr>
        <xdr:cNvPr id="18440" name="AutoShape 8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DFF5547E-3294-4EF0-9E41-B6A4DCFB65A8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211645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9466-5853-41C3-ACC8-1F2734C6766C}">
  <dimension ref="A1:U219"/>
  <sheetViews>
    <sheetView topLeftCell="B91" zoomScale="115" zoomScaleNormal="115" workbookViewId="0">
      <selection activeCell="J119" sqref="J119"/>
    </sheetView>
  </sheetViews>
  <sheetFormatPr defaultRowHeight="14.25" x14ac:dyDescent="0.2"/>
  <cols>
    <col min="1" max="1" width="21.5" customWidth="1"/>
    <col min="2" max="2" width="13.625" customWidth="1"/>
    <col min="3" max="3" width="9" customWidth="1"/>
    <col min="4" max="4" width="17.375" customWidth="1"/>
    <col min="7" max="7" width="13" customWidth="1"/>
    <col min="13" max="13" width="10.25" customWidth="1"/>
  </cols>
  <sheetData>
    <row r="1" spans="1:21" x14ac:dyDescent="0.2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>
        <v>420</v>
      </c>
      <c r="G1" s="3">
        <v>422</v>
      </c>
      <c r="H1" s="3" t="s">
        <v>61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3" t="s">
        <v>62</v>
      </c>
      <c r="B2" s="3">
        <v>64</v>
      </c>
      <c r="C2" s="3">
        <v>8</v>
      </c>
      <c r="D2" s="3">
        <v>6</v>
      </c>
      <c r="E2" s="3" t="s">
        <v>63</v>
      </c>
      <c r="F2" s="3" t="s">
        <v>64</v>
      </c>
      <c r="G2" s="3" t="s">
        <v>65</v>
      </c>
      <c r="H2" s="3" t="s">
        <v>66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3" t="s">
        <v>67</v>
      </c>
      <c r="B3" s="3">
        <v>16</v>
      </c>
      <c r="C3" s="3">
        <v>24</v>
      </c>
      <c r="D3" s="3">
        <v>6</v>
      </c>
      <c r="E3" s="3" t="s">
        <v>68</v>
      </c>
      <c r="F3" s="3" t="s">
        <v>62</v>
      </c>
      <c r="G3" s="3" t="s">
        <v>69</v>
      </c>
      <c r="H3" s="3" t="s">
        <v>70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3" t="s">
        <v>71</v>
      </c>
      <c r="B4" s="3">
        <v>4</v>
      </c>
      <c r="C4" s="3">
        <v>78</v>
      </c>
      <c r="D4" s="3">
        <v>6</v>
      </c>
      <c r="E4" s="3" t="s">
        <v>72</v>
      </c>
      <c r="F4" s="3" t="s">
        <v>67</v>
      </c>
      <c r="G4" s="3" t="s">
        <v>73</v>
      </c>
      <c r="H4" s="3" t="s">
        <v>70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3" t="s">
        <v>74</v>
      </c>
      <c r="B5" s="3">
        <v>1</v>
      </c>
      <c r="C5" s="3">
        <v>284</v>
      </c>
      <c r="D5" s="3">
        <v>6</v>
      </c>
      <c r="E5" s="3">
        <v>2</v>
      </c>
      <c r="F5" s="3" t="s">
        <v>71</v>
      </c>
      <c r="G5" s="3" t="s">
        <v>75</v>
      </c>
      <c r="H5" s="3" t="s">
        <v>66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5" t="s">
        <v>76</v>
      </c>
      <c r="B7" s="5">
        <v>3200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</row>
    <row r="8" spans="1:21" x14ac:dyDescent="0.2">
      <c r="A8" s="110" t="s">
        <v>77</v>
      </c>
      <c r="B8" s="111"/>
      <c r="C8" s="111"/>
      <c r="D8" s="111"/>
      <c r="E8" s="111"/>
      <c r="F8" s="111"/>
      <c r="G8" s="111"/>
      <c r="H8" s="111"/>
      <c r="I8" s="111"/>
      <c r="J8" s="111"/>
      <c r="K8" s="112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">
      <c r="A9" s="6" t="s">
        <v>78</v>
      </c>
      <c r="B9" s="7" t="s">
        <v>57</v>
      </c>
      <c r="C9" s="7" t="s">
        <v>58</v>
      </c>
      <c r="D9" s="6" t="s">
        <v>79</v>
      </c>
      <c r="E9" s="6" t="s">
        <v>80</v>
      </c>
      <c r="F9" s="5"/>
      <c r="G9" s="8" t="s">
        <v>78</v>
      </c>
      <c r="H9" s="5" t="s">
        <v>81</v>
      </c>
      <c r="I9" s="9" t="s">
        <v>57</v>
      </c>
      <c r="J9" s="9" t="s">
        <v>58</v>
      </c>
      <c r="K9" s="8" t="s">
        <v>79</v>
      </c>
      <c r="L9" s="8" t="s">
        <v>82</v>
      </c>
      <c r="M9" s="8" t="s">
        <v>80</v>
      </c>
      <c r="N9" s="4"/>
      <c r="O9" s="10" t="s">
        <v>78</v>
      </c>
      <c r="P9" s="8" t="s">
        <v>81</v>
      </c>
      <c r="Q9" s="11" t="s">
        <v>57</v>
      </c>
      <c r="R9" s="9" t="s">
        <v>58</v>
      </c>
      <c r="S9" s="8" t="s">
        <v>79</v>
      </c>
      <c r="T9" s="8" t="s">
        <v>82</v>
      </c>
      <c r="U9" s="8" t="s">
        <v>80</v>
      </c>
    </row>
    <row r="10" spans="1:21" x14ac:dyDescent="0.2">
      <c r="A10" s="9" t="s">
        <v>62</v>
      </c>
      <c r="B10" s="9">
        <v>64</v>
      </c>
      <c r="C10" s="9">
        <v>8</v>
      </c>
      <c r="D10" s="8">
        <v>2</v>
      </c>
      <c r="E10" s="8">
        <f>B10*C10*D10</f>
        <v>1024</v>
      </c>
      <c r="F10" s="5"/>
      <c r="G10" s="106" t="s">
        <v>83</v>
      </c>
      <c r="H10" s="9" t="s">
        <v>84</v>
      </c>
      <c r="I10" s="9">
        <v>64</v>
      </c>
      <c r="J10" s="9">
        <v>8</v>
      </c>
      <c r="K10" s="8">
        <v>2</v>
      </c>
      <c r="L10" s="8">
        <v>1024</v>
      </c>
      <c r="M10" s="94">
        <v>2440</v>
      </c>
      <c r="N10" s="4"/>
      <c r="O10" s="106" t="s">
        <v>83</v>
      </c>
      <c r="P10" s="7" t="s">
        <v>85</v>
      </c>
      <c r="Q10" s="9">
        <v>64</v>
      </c>
      <c r="R10" s="9">
        <v>8</v>
      </c>
      <c r="S10" s="8">
        <v>4</v>
      </c>
      <c r="T10" s="8">
        <f>Q10*R10*S10</f>
        <v>2048</v>
      </c>
      <c r="U10" s="94">
        <v>2784</v>
      </c>
    </row>
    <row r="11" spans="1:21" x14ac:dyDescent="0.2">
      <c r="A11" s="9" t="s">
        <v>67</v>
      </c>
      <c r="B11" s="9">
        <v>16</v>
      </c>
      <c r="C11" s="9">
        <v>23</v>
      </c>
      <c r="D11" s="8">
        <v>3</v>
      </c>
      <c r="E11" s="8">
        <f>B11*C11*D11</f>
        <v>1104</v>
      </c>
      <c r="F11" s="5"/>
      <c r="G11" s="113"/>
      <c r="H11" s="9" t="s">
        <v>86</v>
      </c>
      <c r="I11" s="9">
        <v>16</v>
      </c>
      <c r="J11" s="9">
        <v>23</v>
      </c>
      <c r="K11" s="8">
        <v>3</v>
      </c>
      <c r="L11" s="8">
        <v>1104</v>
      </c>
      <c r="M11" s="99"/>
      <c r="N11" s="4"/>
      <c r="O11" s="107"/>
      <c r="P11" s="9" t="s">
        <v>87</v>
      </c>
      <c r="Q11" s="9">
        <v>16</v>
      </c>
      <c r="R11" s="9">
        <v>23</v>
      </c>
      <c r="S11" s="8">
        <v>2</v>
      </c>
      <c r="T11" s="8">
        <f t="shared" ref="T11:T14" si="0">Q11*R11*S11</f>
        <v>736</v>
      </c>
      <c r="U11" s="95"/>
    </row>
    <row r="12" spans="1:21" x14ac:dyDescent="0.2">
      <c r="A12" s="9" t="s">
        <v>71</v>
      </c>
      <c r="B12" s="9">
        <v>4</v>
      </c>
      <c r="C12" s="9">
        <v>78</v>
      </c>
      <c r="D12" s="8">
        <v>3</v>
      </c>
      <c r="E12" s="8">
        <f>B12*C12*D12</f>
        <v>936</v>
      </c>
      <c r="F12" s="5"/>
      <c r="G12" s="107"/>
      <c r="H12" s="9" t="s">
        <v>88</v>
      </c>
      <c r="I12" s="8">
        <v>4</v>
      </c>
      <c r="J12" s="9">
        <v>78</v>
      </c>
      <c r="K12" s="12">
        <v>1</v>
      </c>
      <c r="L12" s="8">
        <v>312</v>
      </c>
      <c r="M12" s="95"/>
      <c r="N12" s="4"/>
      <c r="O12" s="96" t="s">
        <v>83</v>
      </c>
      <c r="P12" s="9" t="s">
        <v>89</v>
      </c>
      <c r="Q12" s="9">
        <v>16</v>
      </c>
      <c r="R12" s="9">
        <v>23</v>
      </c>
      <c r="S12" s="8">
        <v>2</v>
      </c>
      <c r="T12" s="8">
        <f t="shared" si="0"/>
        <v>736</v>
      </c>
      <c r="U12" s="94">
        <v>2608</v>
      </c>
    </row>
    <row r="13" spans="1:21" x14ac:dyDescent="0.2">
      <c r="A13" s="9" t="s">
        <v>90</v>
      </c>
      <c r="B13" s="9">
        <v>4</v>
      </c>
      <c r="C13" s="9">
        <v>78</v>
      </c>
      <c r="D13" s="8">
        <v>2</v>
      </c>
      <c r="E13" s="8">
        <f>B13*C13*D13</f>
        <v>624</v>
      </c>
      <c r="F13" s="5"/>
      <c r="G13" s="96" t="s">
        <v>91</v>
      </c>
      <c r="H13" s="9" t="s">
        <v>92</v>
      </c>
      <c r="I13" s="9">
        <v>4</v>
      </c>
      <c r="J13" s="9">
        <v>156</v>
      </c>
      <c r="K13" s="12">
        <v>2</v>
      </c>
      <c r="L13" s="8">
        <v>1248</v>
      </c>
      <c r="M13" s="94">
        <v>2496</v>
      </c>
      <c r="N13" s="4"/>
      <c r="O13" s="97"/>
      <c r="P13" s="9" t="s">
        <v>93</v>
      </c>
      <c r="Q13" s="9">
        <v>4</v>
      </c>
      <c r="R13" s="9">
        <v>78</v>
      </c>
      <c r="S13" s="12">
        <v>4</v>
      </c>
      <c r="T13" s="8">
        <f t="shared" si="0"/>
        <v>1248</v>
      </c>
      <c r="U13" s="99"/>
    </row>
    <row r="14" spans="1:21" x14ac:dyDescent="0.2">
      <c r="A14" s="8"/>
      <c r="B14" s="8"/>
      <c r="C14" s="8"/>
      <c r="D14" s="8"/>
      <c r="E14" s="13">
        <v>3688</v>
      </c>
      <c r="F14" s="5"/>
      <c r="G14" s="98"/>
      <c r="H14" s="9" t="s">
        <v>94</v>
      </c>
      <c r="I14" s="9">
        <v>4</v>
      </c>
      <c r="J14" s="9">
        <v>156</v>
      </c>
      <c r="K14" s="8">
        <v>2</v>
      </c>
      <c r="L14" s="8">
        <v>1248</v>
      </c>
      <c r="M14" s="95"/>
      <c r="N14" s="4"/>
      <c r="O14" s="98"/>
      <c r="P14" s="9" t="s">
        <v>94</v>
      </c>
      <c r="Q14" s="9">
        <v>4</v>
      </c>
      <c r="R14" s="9">
        <v>78</v>
      </c>
      <c r="S14" s="8">
        <v>2</v>
      </c>
      <c r="T14" s="8">
        <f t="shared" si="0"/>
        <v>624</v>
      </c>
      <c r="U14" s="95"/>
    </row>
    <row r="15" spans="1:21" x14ac:dyDescent="0.2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9" t="s">
        <v>95</v>
      </c>
      <c r="B16" s="9" t="s">
        <v>57</v>
      </c>
      <c r="C16" s="23" t="s">
        <v>120</v>
      </c>
      <c r="D16" s="8" t="s">
        <v>79</v>
      </c>
      <c r="E16" s="8"/>
      <c r="F16" s="5"/>
      <c r="G16" s="10" t="s">
        <v>96</v>
      </c>
      <c r="H16" s="8" t="s">
        <v>97</v>
      </c>
      <c r="I16" s="11" t="s">
        <v>57</v>
      </c>
      <c r="J16" s="9" t="s">
        <v>58</v>
      </c>
      <c r="K16" s="8" t="s">
        <v>79</v>
      </c>
      <c r="L16" s="8" t="s">
        <v>82</v>
      </c>
      <c r="M16" s="8" t="s">
        <v>98</v>
      </c>
      <c r="N16" s="4"/>
      <c r="O16" s="10" t="s">
        <v>78</v>
      </c>
      <c r="P16" s="8" t="s">
        <v>81</v>
      </c>
      <c r="Q16" s="11" t="s">
        <v>57</v>
      </c>
      <c r="R16" s="9" t="s">
        <v>58</v>
      </c>
      <c r="S16" s="8" t="s">
        <v>79</v>
      </c>
      <c r="T16" s="8" t="s">
        <v>82</v>
      </c>
      <c r="U16" s="8" t="s">
        <v>80</v>
      </c>
    </row>
    <row r="17" spans="1:21" x14ac:dyDescent="0.2">
      <c r="A17" s="22" t="s">
        <v>116</v>
      </c>
      <c r="B17" s="9">
        <v>64</v>
      </c>
      <c r="C17" s="15">
        <v>4</v>
      </c>
      <c r="D17" s="8">
        <v>4</v>
      </c>
      <c r="E17" s="8">
        <f>B17*C17*D17</f>
        <v>1024</v>
      </c>
      <c r="F17" s="5"/>
      <c r="G17" s="106" t="s">
        <v>91</v>
      </c>
      <c r="H17" s="7" t="s">
        <v>64</v>
      </c>
      <c r="I17" s="9">
        <v>64</v>
      </c>
      <c r="J17" s="15">
        <v>4</v>
      </c>
      <c r="K17" s="8">
        <v>2</v>
      </c>
      <c r="L17" s="8">
        <v>512</v>
      </c>
      <c r="M17" s="94">
        <v>2384</v>
      </c>
      <c r="N17" s="4"/>
      <c r="O17" s="106" t="s">
        <v>83</v>
      </c>
      <c r="P17" s="7" t="s">
        <v>84</v>
      </c>
      <c r="Q17" s="9">
        <v>64</v>
      </c>
      <c r="R17" s="9">
        <v>8</v>
      </c>
      <c r="S17" s="8">
        <v>2</v>
      </c>
      <c r="T17" s="8">
        <f>Q17*R17*S17</f>
        <v>1024</v>
      </c>
      <c r="U17" s="94">
        <v>2496</v>
      </c>
    </row>
    <row r="18" spans="1:21" x14ac:dyDescent="0.2">
      <c r="A18" s="22" t="s">
        <v>117</v>
      </c>
      <c r="B18" s="9">
        <v>16</v>
      </c>
      <c r="C18" s="8">
        <v>11</v>
      </c>
      <c r="D18" s="8">
        <v>4</v>
      </c>
      <c r="E18" s="8">
        <f>B18*C18*D18</f>
        <v>704</v>
      </c>
      <c r="F18" s="5"/>
      <c r="G18" s="113"/>
      <c r="H18" s="9" t="s">
        <v>62</v>
      </c>
      <c r="I18" s="9">
        <v>16</v>
      </c>
      <c r="J18" s="8">
        <v>11</v>
      </c>
      <c r="K18" s="8">
        <v>3</v>
      </c>
      <c r="L18" s="8">
        <v>528</v>
      </c>
      <c r="M18" s="99"/>
      <c r="N18" s="4"/>
      <c r="O18" s="113"/>
      <c r="P18" s="9" t="s">
        <v>99</v>
      </c>
      <c r="Q18" s="9">
        <v>16</v>
      </c>
      <c r="R18" s="9">
        <v>23</v>
      </c>
      <c r="S18" s="8">
        <v>4</v>
      </c>
      <c r="T18" s="8">
        <f t="shared" ref="T18:T21" si="1">Q18*R18*S18</f>
        <v>1472</v>
      </c>
      <c r="U18" s="99"/>
    </row>
    <row r="19" spans="1:21" x14ac:dyDescent="0.2">
      <c r="A19" s="22" t="s">
        <v>118</v>
      </c>
      <c r="B19" s="9">
        <v>4</v>
      </c>
      <c r="C19" s="8">
        <v>38</v>
      </c>
      <c r="D19" s="8">
        <v>4</v>
      </c>
      <c r="E19" s="8">
        <f>B19*C19*D19</f>
        <v>608</v>
      </c>
      <c r="F19" s="5"/>
      <c r="G19" s="107"/>
      <c r="H19" s="5" t="s">
        <v>100</v>
      </c>
      <c r="I19" s="9">
        <v>4</v>
      </c>
      <c r="J19" s="8">
        <v>38</v>
      </c>
      <c r="K19" s="16">
        <v>1</v>
      </c>
      <c r="L19" s="8">
        <v>152</v>
      </c>
      <c r="M19" s="95"/>
      <c r="N19" s="4"/>
      <c r="O19" s="107"/>
      <c r="P19" s="9"/>
      <c r="Q19" s="8"/>
      <c r="R19" s="9"/>
      <c r="S19" s="12"/>
      <c r="T19" s="8">
        <f t="shared" si="1"/>
        <v>0</v>
      </c>
      <c r="U19" s="95"/>
    </row>
    <row r="20" spans="1:21" x14ac:dyDescent="0.2">
      <c r="A20" s="22" t="s">
        <v>119</v>
      </c>
      <c r="B20" s="9">
        <v>1</v>
      </c>
      <c r="C20" s="8">
        <v>140</v>
      </c>
      <c r="D20" s="8">
        <v>2</v>
      </c>
      <c r="E20" s="8">
        <f>B20*C20*D20</f>
        <v>280</v>
      </c>
      <c r="F20" s="5"/>
      <c r="G20" s="106" t="s">
        <v>101</v>
      </c>
      <c r="H20" s="9" t="s">
        <v>102</v>
      </c>
      <c r="I20" s="9">
        <v>4</v>
      </c>
      <c r="J20" s="8">
        <v>76</v>
      </c>
      <c r="K20" s="16">
        <v>2</v>
      </c>
      <c r="L20" s="8">
        <v>608</v>
      </c>
      <c r="M20" s="94">
        <v>2336</v>
      </c>
      <c r="N20" s="4"/>
      <c r="O20" s="96" t="s">
        <v>83</v>
      </c>
      <c r="P20" s="9" t="s">
        <v>93</v>
      </c>
      <c r="Q20" s="9">
        <v>4</v>
      </c>
      <c r="R20" s="9">
        <v>78</v>
      </c>
      <c r="S20" s="12">
        <v>4</v>
      </c>
      <c r="T20" s="8">
        <f t="shared" si="1"/>
        <v>1248</v>
      </c>
      <c r="U20" s="94">
        <v>2496</v>
      </c>
    </row>
    <row r="21" spans="1:21" x14ac:dyDescent="0.2">
      <c r="A21" s="8"/>
      <c r="B21" s="8"/>
      <c r="C21" s="8"/>
      <c r="D21" s="8"/>
      <c r="E21" s="13">
        <v>1800</v>
      </c>
      <c r="F21" s="5"/>
      <c r="G21" s="107"/>
      <c r="H21" s="9" t="s">
        <v>103</v>
      </c>
      <c r="I21" s="9">
        <v>1</v>
      </c>
      <c r="J21" s="8">
        <v>280</v>
      </c>
      <c r="K21" s="8">
        <v>2</v>
      </c>
      <c r="L21" s="8">
        <v>560</v>
      </c>
      <c r="M21" s="95"/>
      <c r="N21" s="4"/>
      <c r="O21" s="98"/>
      <c r="P21" s="9" t="s">
        <v>104</v>
      </c>
      <c r="Q21" s="9">
        <v>4</v>
      </c>
      <c r="R21" s="9">
        <v>78</v>
      </c>
      <c r="S21" s="8">
        <v>4</v>
      </c>
      <c r="T21" s="8">
        <f t="shared" si="1"/>
        <v>1248</v>
      </c>
      <c r="U21" s="95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110" t="s">
        <v>105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2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8" t="s">
        <v>78</v>
      </c>
      <c r="B24" s="9" t="s">
        <v>57</v>
      </c>
      <c r="C24" s="9" t="s">
        <v>106</v>
      </c>
      <c r="D24" s="8" t="s">
        <v>79</v>
      </c>
      <c r="E24" s="8" t="s">
        <v>80</v>
      </c>
      <c r="F24" s="5"/>
      <c r="G24" s="8" t="s">
        <v>107</v>
      </c>
      <c r="H24" s="8" t="s">
        <v>108</v>
      </c>
      <c r="I24" s="8" t="s">
        <v>109</v>
      </c>
      <c r="J24" s="8" t="s">
        <v>110</v>
      </c>
      <c r="K24" s="8" t="s">
        <v>111</v>
      </c>
      <c r="L24" s="8" t="s">
        <v>112</v>
      </c>
      <c r="M24" s="8"/>
      <c r="N24" s="4"/>
      <c r="O24" s="10" t="s">
        <v>96</v>
      </c>
      <c r="P24" s="8" t="s">
        <v>97</v>
      </c>
      <c r="Q24" s="11" t="s">
        <v>57</v>
      </c>
      <c r="R24" s="9" t="s">
        <v>58</v>
      </c>
      <c r="S24" s="8" t="s">
        <v>79</v>
      </c>
      <c r="T24" s="8" t="s">
        <v>82</v>
      </c>
      <c r="U24" s="25" t="s">
        <v>126</v>
      </c>
    </row>
    <row r="25" spans="1:21" x14ac:dyDescent="0.2">
      <c r="A25" s="9" t="s">
        <v>62</v>
      </c>
      <c r="B25" s="9">
        <v>64</v>
      </c>
      <c r="C25" s="9">
        <v>4</v>
      </c>
      <c r="D25" s="8">
        <v>2</v>
      </c>
      <c r="E25" s="8">
        <f>B25*C25*D25</f>
        <v>512</v>
      </c>
      <c r="F25" s="5"/>
      <c r="G25" s="9" t="s">
        <v>62</v>
      </c>
      <c r="H25" s="8">
        <v>512</v>
      </c>
      <c r="I25" s="8">
        <v>256</v>
      </c>
      <c r="J25" s="8">
        <v>768</v>
      </c>
      <c r="K25" s="8">
        <v>768</v>
      </c>
      <c r="L25" s="8">
        <v>768</v>
      </c>
      <c r="M25" s="13" t="s">
        <v>113</v>
      </c>
      <c r="N25" s="4"/>
      <c r="O25" s="106" t="s">
        <v>83</v>
      </c>
      <c r="P25" s="24" t="s">
        <v>121</v>
      </c>
      <c r="Q25" s="9">
        <v>64</v>
      </c>
      <c r="R25" s="9">
        <v>4</v>
      </c>
      <c r="S25" s="8">
        <v>4</v>
      </c>
      <c r="T25" s="8">
        <f>Q25*R25*S25</f>
        <v>1024</v>
      </c>
      <c r="U25" s="94">
        <f>T25+T26</f>
        <v>1376</v>
      </c>
    </row>
    <row r="26" spans="1:21" x14ac:dyDescent="0.2">
      <c r="A26" s="9" t="s">
        <v>67</v>
      </c>
      <c r="B26" s="9">
        <v>16</v>
      </c>
      <c r="C26" s="9">
        <v>16</v>
      </c>
      <c r="D26" s="8">
        <v>2</v>
      </c>
      <c r="E26" s="8">
        <f>B26*C26*D26</f>
        <v>512</v>
      </c>
      <c r="F26" s="5"/>
      <c r="G26" s="9" t="s">
        <v>67</v>
      </c>
      <c r="H26" s="8">
        <v>512</v>
      </c>
      <c r="I26" s="8">
        <v>256</v>
      </c>
      <c r="J26" s="8">
        <v>768</v>
      </c>
      <c r="K26" s="8">
        <v>768</v>
      </c>
      <c r="L26" s="8">
        <v>1536</v>
      </c>
      <c r="M26" s="94" t="s">
        <v>114</v>
      </c>
      <c r="N26" s="4"/>
      <c r="O26" s="107"/>
      <c r="P26" s="23" t="s">
        <v>122</v>
      </c>
      <c r="Q26" s="9">
        <v>16</v>
      </c>
      <c r="R26" s="9">
        <v>11</v>
      </c>
      <c r="S26" s="8">
        <v>2</v>
      </c>
      <c r="T26" s="8">
        <f t="shared" ref="T26:T29" si="2">Q26*R26*S26</f>
        <v>352</v>
      </c>
      <c r="U26" s="95"/>
    </row>
    <row r="27" spans="1:21" x14ac:dyDescent="0.2">
      <c r="A27" s="9" t="s">
        <v>71</v>
      </c>
      <c r="B27" s="9">
        <v>4</v>
      </c>
      <c r="C27" s="9">
        <v>64</v>
      </c>
      <c r="D27" s="8">
        <v>2</v>
      </c>
      <c r="E27" s="8">
        <f>B27*C27*D27</f>
        <v>512</v>
      </c>
      <c r="F27" s="5"/>
      <c r="G27" s="17" t="s">
        <v>71</v>
      </c>
      <c r="H27" s="18">
        <v>1024</v>
      </c>
      <c r="I27" s="18">
        <v>256</v>
      </c>
      <c r="J27" s="18">
        <v>1280</v>
      </c>
      <c r="K27" s="18">
        <v>512</v>
      </c>
      <c r="L27" s="18">
        <v>1792</v>
      </c>
      <c r="M27" s="95"/>
      <c r="N27" s="4"/>
      <c r="O27" s="96" t="s">
        <v>83</v>
      </c>
      <c r="P27" s="23" t="s">
        <v>123</v>
      </c>
      <c r="Q27" s="9">
        <v>16</v>
      </c>
      <c r="R27" s="9">
        <v>11</v>
      </c>
      <c r="S27" s="8">
        <v>2</v>
      </c>
      <c r="T27" s="8">
        <f t="shared" si="2"/>
        <v>352</v>
      </c>
      <c r="U27" s="94">
        <f>T27+T28+T29</f>
        <v>1240</v>
      </c>
    </row>
    <row r="28" spans="1:21" x14ac:dyDescent="0.2">
      <c r="A28" s="9" t="s">
        <v>90</v>
      </c>
      <c r="B28" s="9">
        <v>4</v>
      </c>
      <c r="C28" s="9">
        <v>64</v>
      </c>
      <c r="D28" s="8">
        <v>2</v>
      </c>
      <c r="E28" s="8">
        <f>B28*C28*D28</f>
        <v>512</v>
      </c>
      <c r="F28" s="5"/>
      <c r="G28" s="8" t="s">
        <v>64</v>
      </c>
      <c r="H28" s="8">
        <v>0</v>
      </c>
      <c r="I28" s="8">
        <v>512</v>
      </c>
      <c r="J28" s="8">
        <v>512</v>
      </c>
      <c r="K28" s="8">
        <v>0</v>
      </c>
      <c r="L28" s="8">
        <v>512</v>
      </c>
      <c r="M28" s="13" t="s">
        <v>115</v>
      </c>
      <c r="N28" s="4"/>
      <c r="O28" s="97"/>
      <c r="P28" s="23" t="s">
        <v>124</v>
      </c>
      <c r="Q28" s="9">
        <v>4</v>
      </c>
      <c r="R28" s="9">
        <v>38</v>
      </c>
      <c r="S28" s="12">
        <v>4</v>
      </c>
      <c r="T28" s="8">
        <f t="shared" si="2"/>
        <v>608</v>
      </c>
      <c r="U28" s="99"/>
    </row>
    <row r="29" spans="1:21" x14ac:dyDescent="0.2">
      <c r="A29" s="8"/>
      <c r="B29" s="8"/>
      <c r="C29" s="8"/>
      <c r="D29" s="8"/>
      <c r="E29" s="8">
        <v>2048</v>
      </c>
      <c r="F29" s="5"/>
      <c r="G29" s="5"/>
      <c r="H29" s="5"/>
      <c r="I29" s="5"/>
      <c r="J29" s="5"/>
      <c r="K29" s="5"/>
      <c r="L29" s="5"/>
      <c r="M29" s="5"/>
      <c r="N29" s="4"/>
      <c r="O29" s="98"/>
      <c r="P29" s="23" t="s">
        <v>125</v>
      </c>
      <c r="Q29" s="9">
        <v>1</v>
      </c>
      <c r="R29" s="8">
        <v>140</v>
      </c>
      <c r="S29" s="8">
        <v>2</v>
      </c>
      <c r="T29" s="8">
        <f t="shared" si="2"/>
        <v>280</v>
      </c>
      <c r="U29" s="95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19" t="s">
        <v>95</v>
      </c>
      <c r="B31" s="20" t="s">
        <v>57</v>
      </c>
      <c r="C31" s="20" t="s">
        <v>106</v>
      </c>
      <c r="D31" s="19" t="s">
        <v>79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22" t="s">
        <v>116</v>
      </c>
      <c r="B32" s="20">
        <v>64</v>
      </c>
      <c r="C32" s="21">
        <v>2</v>
      </c>
      <c r="D32" s="19">
        <v>2</v>
      </c>
      <c r="E32" s="8">
        <f>B32*C32*D32</f>
        <v>256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22" t="s">
        <v>117</v>
      </c>
      <c r="B33" s="20">
        <v>16</v>
      </c>
      <c r="C33" s="19">
        <v>4</v>
      </c>
      <c r="D33" s="19">
        <v>2</v>
      </c>
      <c r="E33" s="8">
        <f>B33*C33*D33</f>
        <v>128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22" t="s">
        <v>118</v>
      </c>
      <c r="B34" s="20">
        <v>4</v>
      </c>
      <c r="C34" s="19">
        <v>16</v>
      </c>
      <c r="D34" s="19">
        <v>2</v>
      </c>
      <c r="E34" s="8">
        <f>B34*C34*D34</f>
        <v>128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22" t="s">
        <v>119</v>
      </c>
      <c r="B35" s="20">
        <v>1</v>
      </c>
      <c r="C35" s="19">
        <v>64</v>
      </c>
      <c r="D35" s="19">
        <v>2</v>
      </c>
      <c r="E35" s="8">
        <f>B35*C35*D35</f>
        <v>128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19"/>
      <c r="B36" s="19"/>
      <c r="C36" s="19"/>
      <c r="D36" s="19"/>
      <c r="E36" s="19">
        <v>640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33" t="s">
        <v>171</v>
      </c>
      <c r="B38" s="34"/>
      <c r="C38" s="34"/>
      <c r="D38" s="34"/>
      <c r="E38" s="3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39" t="s">
        <v>159</v>
      </c>
      <c r="B39" s="35" t="s">
        <v>172</v>
      </c>
      <c r="C39" s="35" t="s">
        <v>173</v>
      </c>
      <c r="D39" s="35" t="s">
        <v>174</v>
      </c>
      <c r="E39" s="35" t="s">
        <v>175</v>
      </c>
      <c r="F39" s="2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31" t="s">
        <v>169</v>
      </c>
      <c r="B40" s="32">
        <v>128</v>
      </c>
      <c r="C40" s="36">
        <v>1</v>
      </c>
      <c r="D40" s="30">
        <v>4</v>
      </c>
      <c r="E40" s="30">
        <f>B40*C40*D40</f>
        <v>512</v>
      </c>
      <c r="F40" s="2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35" t="s">
        <v>177</v>
      </c>
      <c r="B41" s="30">
        <v>256</v>
      </c>
      <c r="C41" s="30">
        <v>1</v>
      </c>
      <c r="D41" s="30">
        <v>4</v>
      </c>
      <c r="E41" s="30">
        <f>B41*C41*D41</f>
        <v>1024</v>
      </c>
      <c r="F41" s="2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35" t="s">
        <v>176</v>
      </c>
      <c r="B42" s="30"/>
      <c r="C42" s="30"/>
      <c r="D42" s="30"/>
      <c r="E42" s="39">
        <f>SUM(E40:E41)</f>
        <v>1536</v>
      </c>
      <c r="F42" s="2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37"/>
      <c r="B43" s="37"/>
      <c r="C43" s="37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39" t="s">
        <v>160</v>
      </c>
      <c r="B44" s="35"/>
      <c r="C44" s="35"/>
      <c r="D44" s="35"/>
      <c r="E44" s="35"/>
      <c r="F44" s="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31" t="s">
        <v>161</v>
      </c>
      <c r="B45" s="32">
        <v>64</v>
      </c>
      <c r="C45" s="36">
        <v>4</v>
      </c>
      <c r="D45" s="30">
        <v>4</v>
      </c>
      <c r="E45" s="30">
        <f>B45*C45*D45</f>
        <v>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5" t="s">
        <v>168</v>
      </c>
      <c r="B46" s="30">
        <v>32</v>
      </c>
      <c r="C46" s="30">
        <v>4</v>
      </c>
      <c r="D46" s="30">
        <v>2</v>
      </c>
      <c r="E46" s="30">
        <f>B46*C46*D46</f>
        <v>256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35" t="s">
        <v>176</v>
      </c>
      <c r="B47" s="30"/>
      <c r="C47" s="30"/>
      <c r="D47" s="30"/>
      <c r="E47" s="39">
        <f>SUM(E45:E46)</f>
        <v>1280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34"/>
      <c r="B48" s="34"/>
      <c r="C48" s="34"/>
      <c r="D48" s="34"/>
      <c r="E48" s="3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39" t="s">
        <v>162</v>
      </c>
      <c r="B49" s="35"/>
      <c r="C49" s="35"/>
      <c r="D49" s="35"/>
      <c r="E49" s="35"/>
      <c r="F49" s="2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31" t="s">
        <v>166</v>
      </c>
      <c r="B50" s="32">
        <v>16</v>
      </c>
      <c r="C50" s="36">
        <v>16</v>
      </c>
      <c r="D50" s="30">
        <v>2</v>
      </c>
      <c r="E50" s="30">
        <f>B50*C50*D50</f>
        <v>512</v>
      </c>
      <c r="F50" s="2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35" t="s">
        <v>167</v>
      </c>
      <c r="B51" s="30">
        <v>4</v>
      </c>
      <c r="C51" s="30">
        <v>16</v>
      </c>
      <c r="D51" s="30">
        <v>2</v>
      </c>
      <c r="E51" s="30">
        <f>B51*C51*D51</f>
        <v>128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35" t="s">
        <v>170</v>
      </c>
      <c r="B52" s="30">
        <v>4</v>
      </c>
      <c r="C52" s="30">
        <v>16</v>
      </c>
      <c r="D52" s="30">
        <v>2</v>
      </c>
      <c r="E52" s="39">
        <f>B52*C52*D52</f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35" t="s">
        <v>176</v>
      </c>
      <c r="B53" s="35"/>
      <c r="C53" s="35"/>
      <c r="D53" s="35"/>
      <c r="E53" s="35">
        <f>SUM(E50:E52)</f>
        <v>768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39" t="s">
        <v>163</v>
      </c>
      <c r="B55" s="35"/>
      <c r="C55" s="35"/>
      <c r="D55" s="35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31" t="s">
        <v>164</v>
      </c>
      <c r="B56" s="32">
        <v>4</v>
      </c>
      <c r="C56" s="36">
        <v>72</v>
      </c>
      <c r="D56" s="30">
        <v>2</v>
      </c>
      <c r="E56" s="30">
        <f>B56*C56*D56</f>
        <v>576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35" t="s">
        <v>165</v>
      </c>
      <c r="B57" s="30">
        <v>4</v>
      </c>
      <c r="C57" s="30">
        <v>72</v>
      </c>
      <c r="D57" s="30">
        <v>2</v>
      </c>
      <c r="E57" s="30">
        <f>B57*C57*D57</f>
        <v>576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35" t="s">
        <v>176</v>
      </c>
      <c r="B58" s="30"/>
      <c r="C58" s="30"/>
      <c r="D58" s="30"/>
      <c r="E58" s="39">
        <f>SUM(E56:E57)</f>
        <v>1152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4"/>
      <c r="K60" s="28"/>
      <c r="L60" s="28"/>
      <c r="M60" s="28"/>
      <c r="N60" s="28"/>
      <c r="O60" s="28"/>
      <c r="P60" s="28"/>
      <c r="Q60" s="28"/>
      <c r="R60" s="28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4"/>
      <c r="K62" s="28"/>
      <c r="L62" s="28"/>
      <c r="M62" s="28"/>
      <c r="N62" s="28"/>
      <c r="O62" s="28"/>
      <c r="P62" s="28"/>
      <c r="Q62" s="28"/>
      <c r="R62" s="28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4"/>
      <c r="K64" s="28"/>
      <c r="L64" s="28"/>
      <c r="M64" s="28"/>
      <c r="N64" s="28"/>
      <c r="O64" s="28"/>
      <c r="P64" s="28"/>
      <c r="Q64" s="28"/>
      <c r="R64" s="28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4"/>
      <c r="K66" s="28"/>
      <c r="L66" s="28"/>
      <c r="M66" s="28"/>
      <c r="N66" s="28"/>
      <c r="O66" s="28"/>
      <c r="P66" s="28"/>
      <c r="Q66" s="28"/>
      <c r="R66" s="28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4"/>
      <c r="K68" s="28"/>
      <c r="L68" s="28"/>
      <c r="M68" s="28"/>
      <c r="N68" s="28"/>
      <c r="O68" s="28"/>
      <c r="P68" s="28"/>
      <c r="Q68" s="28"/>
      <c r="R68" s="28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4"/>
      <c r="K70" s="28"/>
      <c r="L70" s="28"/>
      <c r="M70" s="28"/>
      <c r="N70" s="28"/>
      <c r="O70" s="28"/>
      <c r="P70" s="28"/>
      <c r="Q70" s="28"/>
      <c r="R70" s="28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4"/>
      <c r="K72" s="28"/>
      <c r="L72" s="28"/>
      <c r="M72" s="28"/>
      <c r="N72" s="28"/>
      <c r="O72" s="28"/>
      <c r="P72" s="28"/>
      <c r="Q72" s="28"/>
      <c r="R72" s="28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4"/>
      <c r="K74" s="28"/>
      <c r="L74" s="28"/>
      <c r="M74" s="28"/>
      <c r="N74" s="28"/>
      <c r="O74" s="28"/>
      <c r="P74" s="28"/>
      <c r="Q74" s="28"/>
      <c r="R74" s="28"/>
      <c r="S74" s="4"/>
      <c r="T74" s="4"/>
      <c r="U74" s="4"/>
    </row>
    <row r="75" spans="1:21" x14ac:dyDescent="0.2">
      <c r="A75" s="102" t="s">
        <v>203</v>
      </c>
      <c r="B75" s="102"/>
      <c r="C75" s="102"/>
      <c r="D75" s="102"/>
      <c r="E75" s="102"/>
      <c r="F75" s="102"/>
      <c r="G75" s="102"/>
      <c r="H75" s="102"/>
      <c r="I75" s="102"/>
      <c r="J75" s="82"/>
      <c r="K75" s="102" t="s">
        <v>204</v>
      </c>
      <c r="L75" s="102"/>
      <c r="M75" s="102"/>
      <c r="N75" s="102"/>
      <c r="O75" s="102"/>
      <c r="P75" s="102"/>
      <c r="Q75" s="102"/>
      <c r="R75" s="102"/>
      <c r="S75" s="27"/>
      <c r="T75" s="4"/>
      <c r="U75" s="4"/>
    </row>
    <row r="76" spans="1:21" x14ac:dyDescent="0.2">
      <c r="A76" t="s">
        <v>16</v>
      </c>
      <c r="B76" t="s">
        <v>17</v>
      </c>
      <c r="C76" t="s">
        <v>18</v>
      </c>
      <c r="G76" t="s">
        <v>199</v>
      </c>
      <c r="H76" t="s">
        <v>15</v>
      </c>
      <c r="I76" t="s">
        <v>14</v>
      </c>
      <c r="K76" t="s">
        <v>16</v>
      </c>
      <c r="L76" t="s">
        <v>17</v>
      </c>
      <c r="M76" t="s">
        <v>18</v>
      </c>
      <c r="P76" t="s">
        <v>209</v>
      </c>
      <c r="Q76" t="s">
        <v>15</v>
      </c>
      <c r="R76" t="s">
        <v>14</v>
      </c>
    </row>
    <row r="77" spans="1:21" x14ac:dyDescent="0.2">
      <c r="A77">
        <v>1</v>
      </c>
      <c r="B77">
        <v>1</v>
      </c>
      <c r="C77">
        <v>1</v>
      </c>
      <c r="G77">
        <v>0</v>
      </c>
      <c r="H77">
        <v>19</v>
      </c>
      <c r="I77">
        <v>0</v>
      </c>
      <c r="K77">
        <v>1</v>
      </c>
      <c r="L77">
        <v>1</v>
      </c>
      <c r="M77">
        <v>3</v>
      </c>
    </row>
    <row r="78" spans="1:21" x14ac:dyDescent="0.2">
      <c r="A78" t="s">
        <v>19</v>
      </c>
      <c r="B78" t="s">
        <v>20</v>
      </c>
      <c r="C78" t="s">
        <v>21</v>
      </c>
      <c r="D78" s="4"/>
      <c r="E78" s="4"/>
      <c r="F78" s="4"/>
      <c r="G78" t="s">
        <v>201</v>
      </c>
      <c r="H78" t="s">
        <v>15</v>
      </c>
      <c r="I78" t="s">
        <v>14</v>
      </c>
      <c r="J78" s="4"/>
      <c r="K78" t="s">
        <v>19</v>
      </c>
      <c r="L78" t="s">
        <v>20</v>
      </c>
      <c r="M78" t="s">
        <v>21</v>
      </c>
      <c r="N78" s="4"/>
      <c r="O78" s="4"/>
      <c r="P78" t="s">
        <v>199</v>
      </c>
      <c r="Q78" t="s">
        <v>15</v>
      </c>
      <c r="R78" t="s">
        <v>14</v>
      </c>
      <c r="S78" s="4"/>
      <c r="T78" s="4"/>
      <c r="U78" s="4"/>
    </row>
    <row r="79" spans="1:21" x14ac:dyDescent="0.2">
      <c r="A79">
        <v>1</v>
      </c>
      <c r="B79">
        <v>1</v>
      </c>
      <c r="C79">
        <v>4</v>
      </c>
      <c r="D79" s="4"/>
      <c r="E79" s="4"/>
      <c r="F79" s="4"/>
      <c r="G79">
        <v>0</v>
      </c>
      <c r="H79">
        <v>12</v>
      </c>
      <c r="I79">
        <v>0</v>
      </c>
      <c r="J79" s="4"/>
      <c r="K79">
        <v>0</v>
      </c>
      <c r="L79">
        <v>0</v>
      </c>
      <c r="M79">
        <v>0</v>
      </c>
      <c r="N79" s="4"/>
      <c r="O79" s="4"/>
      <c r="P79">
        <v>0</v>
      </c>
      <c r="Q79">
        <v>12</v>
      </c>
      <c r="R79">
        <v>0</v>
      </c>
      <c r="S79" s="4"/>
      <c r="T79" s="4"/>
      <c r="U79" s="4"/>
    </row>
    <row r="80" spans="1:21" x14ac:dyDescent="0.2">
      <c r="A80" t="s">
        <v>198</v>
      </c>
      <c r="B80" t="s">
        <v>26</v>
      </c>
      <c r="C80" t="s">
        <v>27</v>
      </c>
      <c r="D80" t="s">
        <v>28</v>
      </c>
      <c r="E80" s="4"/>
      <c r="F80" s="4"/>
      <c r="G80" s="4"/>
      <c r="H80" s="4"/>
      <c r="I80" s="4"/>
      <c r="J80" s="4"/>
      <c r="K80" t="s">
        <v>198</v>
      </c>
      <c r="L80" t="s">
        <v>26</v>
      </c>
      <c r="M80" t="s">
        <v>27</v>
      </c>
      <c r="N80" t="s">
        <v>28</v>
      </c>
      <c r="O80" s="4"/>
      <c r="P80" t="s">
        <v>201</v>
      </c>
      <c r="Q80" t="s">
        <v>15</v>
      </c>
      <c r="R80" t="s">
        <v>14</v>
      </c>
      <c r="S80" s="4"/>
      <c r="T80" s="4"/>
      <c r="U80" s="4"/>
    </row>
    <row r="81" spans="1:21" x14ac:dyDescent="0.2">
      <c r="A81">
        <v>2</v>
      </c>
      <c r="B81">
        <v>78</v>
      </c>
      <c r="C81">
        <v>-24</v>
      </c>
      <c r="D81">
        <v>64</v>
      </c>
      <c r="E81" s="4"/>
      <c r="F81" s="4"/>
      <c r="G81" s="4"/>
      <c r="H81" s="4"/>
      <c r="I81" s="4"/>
      <c r="J81" s="4"/>
      <c r="O81" s="4"/>
      <c r="P81">
        <v>0</v>
      </c>
      <c r="Q81">
        <v>12</v>
      </c>
      <c r="R81">
        <v>0</v>
      </c>
      <c r="S81" s="4"/>
      <c r="T81" s="4"/>
      <c r="U81" s="4"/>
    </row>
    <row r="82" spans="1:21" x14ac:dyDescent="0.2">
      <c r="A82" t="s">
        <v>198</v>
      </c>
      <c r="B82" t="s">
        <v>23</v>
      </c>
      <c r="C82" t="s">
        <v>24</v>
      </c>
      <c r="D82" t="s">
        <v>25</v>
      </c>
      <c r="E82" s="4"/>
      <c r="F82" s="4"/>
      <c r="G82" s="4"/>
      <c r="H82" s="4"/>
      <c r="I82" s="4"/>
      <c r="J82" s="4"/>
      <c r="K82" t="s">
        <v>198</v>
      </c>
      <c r="L82" t="s">
        <v>23</v>
      </c>
      <c r="M82" t="s">
        <v>24</v>
      </c>
      <c r="N82" t="s">
        <v>25</v>
      </c>
      <c r="O82" s="4"/>
      <c r="P82" s="103" t="s">
        <v>237</v>
      </c>
      <c r="Q82" s="104"/>
      <c r="R82" s="105"/>
      <c r="S82" s="4"/>
      <c r="T82" s="4"/>
      <c r="U82" s="4"/>
    </row>
    <row r="83" spans="1:21" x14ac:dyDescent="0.2">
      <c r="A83">
        <v>2</v>
      </c>
      <c r="B83">
        <v>23</v>
      </c>
      <c r="C83">
        <v>-8</v>
      </c>
      <c r="D83">
        <v>16</v>
      </c>
      <c r="E83" s="4"/>
      <c r="F83" s="4"/>
      <c r="G83" s="4"/>
      <c r="H83" s="4"/>
      <c r="I83" s="4"/>
      <c r="J83" s="4"/>
      <c r="K83">
        <v>2</v>
      </c>
      <c r="L83">
        <v>44</v>
      </c>
      <c r="M83">
        <v>-22</v>
      </c>
      <c r="N83">
        <v>32</v>
      </c>
      <c r="O83" s="4"/>
      <c r="P83" t="s">
        <v>209</v>
      </c>
      <c r="Q83" t="s">
        <v>15</v>
      </c>
      <c r="R83" t="s">
        <v>14</v>
      </c>
      <c r="S83" s="4"/>
      <c r="T83" s="4"/>
      <c r="U83" s="4"/>
    </row>
    <row r="84" spans="1:21" x14ac:dyDescent="0.2">
      <c r="A84" t="s">
        <v>198</v>
      </c>
      <c r="B84" t="s">
        <v>11</v>
      </c>
      <c r="C84" t="s">
        <v>12</v>
      </c>
      <c r="D84" t="s">
        <v>13</v>
      </c>
      <c r="E84" s="4"/>
      <c r="F84" s="4"/>
      <c r="G84" s="4"/>
      <c r="H84" s="4"/>
      <c r="I84" s="4"/>
      <c r="J84" s="4"/>
      <c r="K84" t="s">
        <v>198</v>
      </c>
      <c r="L84" t="s">
        <v>11</v>
      </c>
      <c r="M84" t="s">
        <v>12</v>
      </c>
      <c r="N84" t="s">
        <v>13</v>
      </c>
      <c r="O84" s="4"/>
      <c r="S84" s="4"/>
      <c r="T84" s="4"/>
      <c r="U84" s="4"/>
    </row>
    <row r="85" spans="1:21" x14ac:dyDescent="0.2">
      <c r="A85">
        <v>2</v>
      </c>
      <c r="B85">
        <v>8</v>
      </c>
      <c r="C85">
        <v>4</v>
      </c>
      <c r="D85">
        <v>4</v>
      </c>
      <c r="E85" s="4"/>
      <c r="F85" s="4"/>
      <c r="G85" s="4"/>
      <c r="H85" s="4"/>
      <c r="I85" s="4"/>
      <c r="J85" s="4"/>
      <c r="K85">
        <v>2</v>
      </c>
      <c r="L85">
        <v>13</v>
      </c>
      <c r="M85">
        <v>8</v>
      </c>
      <c r="N85">
        <v>4</v>
      </c>
      <c r="O85" s="4"/>
      <c r="P85" t="s">
        <v>199</v>
      </c>
      <c r="Q85" t="s">
        <v>15</v>
      </c>
      <c r="R85" t="s">
        <v>14</v>
      </c>
      <c r="S85" s="4"/>
      <c r="T85" s="4"/>
      <c r="U85" s="4"/>
    </row>
    <row r="86" spans="1:21" x14ac:dyDescent="0.2">
      <c r="A86" t="s">
        <v>200</v>
      </c>
      <c r="B86" t="s">
        <v>26</v>
      </c>
      <c r="C86" t="s">
        <v>27</v>
      </c>
      <c r="D86" t="s">
        <v>28</v>
      </c>
      <c r="E86" s="4"/>
      <c r="F86" s="4"/>
      <c r="G86" s="4"/>
      <c r="H86" s="4"/>
      <c r="I86" s="4"/>
      <c r="J86" s="4"/>
      <c r="K86" t="s">
        <v>198</v>
      </c>
      <c r="L86" t="s">
        <v>127</v>
      </c>
      <c r="M86" t="s">
        <v>128</v>
      </c>
      <c r="N86" t="s">
        <v>129</v>
      </c>
      <c r="O86" s="4"/>
      <c r="S86" s="4"/>
      <c r="T86" s="4"/>
      <c r="U86" s="4"/>
    </row>
    <row r="87" spans="1:21" x14ac:dyDescent="0.2">
      <c r="A87">
        <v>2</v>
      </c>
      <c r="B87">
        <v>88</v>
      </c>
      <c r="C87">
        <v>-80</v>
      </c>
      <c r="D87">
        <v>88</v>
      </c>
      <c r="E87" s="4"/>
      <c r="F87" s="4"/>
      <c r="G87" s="4"/>
      <c r="H87" s="4"/>
      <c r="I87" s="4"/>
      <c r="J87" s="4"/>
      <c r="O87" s="4"/>
      <c r="P87" t="s">
        <v>201</v>
      </c>
      <c r="Q87" t="s">
        <v>15</v>
      </c>
      <c r="R87" t="s">
        <v>14</v>
      </c>
      <c r="S87" s="4"/>
      <c r="T87" s="4"/>
      <c r="U87" s="4"/>
    </row>
    <row r="88" spans="1:21" x14ac:dyDescent="0.2">
      <c r="A88" t="s">
        <v>200</v>
      </c>
      <c r="B88" t="s">
        <v>23</v>
      </c>
      <c r="C88" t="s">
        <v>24</v>
      </c>
      <c r="D88" t="s">
        <v>25</v>
      </c>
      <c r="E88" s="4"/>
      <c r="F88" s="4"/>
      <c r="G88" s="4"/>
      <c r="H88" s="4"/>
      <c r="I88" s="4"/>
      <c r="J88" s="4"/>
      <c r="K88" t="s">
        <v>200</v>
      </c>
      <c r="L88" t="s">
        <v>23</v>
      </c>
      <c r="M88" t="s">
        <v>24</v>
      </c>
      <c r="N88" t="s">
        <v>25</v>
      </c>
      <c r="O88" s="4"/>
      <c r="P88">
        <v>0</v>
      </c>
      <c r="Q88">
        <v>12</v>
      </c>
      <c r="R88">
        <v>1</v>
      </c>
      <c r="S88" s="4"/>
      <c r="T88" s="4"/>
      <c r="U88" s="4"/>
    </row>
    <row r="89" spans="1:21" x14ac:dyDescent="0.2">
      <c r="A89">
        <v>2</v>
      </c>
      <c r="B89">
        <v>44</v>
      </c>
      <c r="C89">
        <v>-36</v>
      </c>
      <c r="D89">
        <v>44</v>
      </c>
      <c r="E89" s="4"/>
      <c r="F89" s="4"/>
      <c r="G89" s="4"/>
      <c r="H89" s="4"/>
      <c r="I89" s="4"/>
      <c r="J89" s="4"/>
      <c r="O89" s="4"/>
      <c r="P89" s="4"/>
      <c r="Q89" s="4"/>
      <c r="R89" s="4"/>
      <c r="S89" s="4"/>
      <c r="T89" s="4"/>
      <c r="U89" s="4"/>
    </row>
    <row r="90" spans="1:21" x14ac:dyDescent="0.2">
      <c r="A90" t="s">
        <v>200</v>
      </c>
      <c r="B90" t="s">
        <v>11</v>
      </c>
      <c r="C90" t="s">
        <v>12</v>
      </c>
      <c r="D90" t="s">
        <v>13</v>
      </c>
      <c r="E90" s="4"/>
      <c r="F90" s="4"/>
      <c r="G90" s="4"/>
      <c r="H90" s="4"/>
      <c r="I90" s="4"/>
      <c r="J90" s="4"/>
      <c r="K90" t="s">
        <v>200</v>
      </c>
      <c r="L90" t="s">
        <v>11</v>
      </c>
      <c r="M90" t="s">
        <v>12</v>
      </c>
      <c r="N90" t="s">
        <v>13</v>
      </c>
      <c r="O90" s="4"/>
      <c r="P90" s="4"/>
      <c r="Q90" s="4"/>
      <c r="R90" s="4"/>
      <c r="S90" s="4"/>
      <c r="T90" s="4"/>
      <c r="U90" s="4"/>
    </row>
    <row r="91" spans="1:21" x14ac:dyDescent="0.2">
      <c r="A91">
        <v>2</v>
      </c>
      <c r="B91">
        <v>22</v>
      </c>
      <c r="C91">
        <v>0</v>
      </c>
      <c r="D91">
        <v>8</v>
      </c>
      <c r="E91" s="4"/>
      <c r="F91" s="4"/>
      <c r="G91" s="4"/>
      <c r="H91" s="4"/>
      <c r="I91" s="4"/>
      <c r="J91" s="4"/>
      <c r="K91">
        <v>2</v>
      </c>
      <c r="L91">
        <v>26</v>
      </c>
      <c r="M91">
        <v>-8</v>
      </c>
      <c r="N91">
        <v>8</v>
      </c>
      <c r="O91" s="4"/>
      <c r="P91" s="4"/>
      <c r="Q91" s="4"/>
      <c r="R91" s="4"/>
      <c r="S91" s="4"/>
      <c r="T91" s="4"/>
      <c r="U91" s="4"/>
    </row>
    <row r="92" spans="1:21" x14ac:dyDescent="0.2">
      <c r="A92" t="s">
        <v>200</v>
      </c>
      <c r="B92" t="s">
        <v>127</v>
      </c>
      <c r="C92" t="s">
        <v>128</v>
      </c>
      <c r="D92" t="s">
        <v>129</v>
      </c>
      <c r="E92" s="4"/>
      <c r="F92" s="4"/>
      <c r="G92" s="4"/>
      <c r="H92" s="4"/>
      <c r="I92" s="4"/>
      <c r="J92" s="4"/>
      <c r="K92" t="s">
        <v>200</v>
      </c>
      <c r="L92" t="s">
        <v>127</v>
      </c>
      <c r="M92" t="s">
        <v>128</v>
      </c>
      <c r="N92" t="s">
        <v>129</v>
      </c>
      <c r="O92" s="4"/>
      <c r="P92" s="4"/>
      <c r="Q92" s="4"/>
      <c r="R92" s="4"/>
      <c r="S92" s="4"/>
      <c r="T92" s="4"/>
      <c r="U92" s="4"/>
    </row>
    <row r="93" spans="1:21" x14ac:dyDescent="0.2">
      <c r="A93">
        <v>2</v>
      </c>
      <c r="B93">
        <v>8</v>
      </c>
      <c r="C93">
        <v>2</v>
      </c>
      <c r="D93">
        <v>2</v>
      </c>
      <c r="E93" s="4"/>
      <c r="F93" s="4"/>
      <c r="G93" s="4"/>
      <c r="H93" s="4"/>
      <c r="I93" s="4"/>
      <c r="J93" s="4"/>
      <c r="K93">
        <v>2</v>
      </c>
      <c r="L93">
        <v>6</v>
      </c>
      <c r="M93">
        <v>8</v>
      </c>
      <c r="N93">
        <v>2</v>
      </c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100" t="s">
        <v>284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27"/>
      <c r="O96" s="4"/>
      <c r="P96" s="4"/>
      <c r="Q96" s="4"/>
      <c r="R96" s="4"/>
      <c r="S96" s="4"/>
      <c r="T96" s="4"/>
      <c r="U96" s="4"/>
    </row>
    <row r="97" spans="1:21" x14ac:dyDescent="0.2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27"/>
      <c r="O97" s="4"/>
      <c r="P97" s="4"/>
      <c r="Q97" s="4"/>
      <c r="R97" s="4"/>
      <c r="S97" s="4"/>
      <c r="T97" s="4"/>
      <c r="U97" s="4"/>
    </row>
    <row r="98" spans="1:21" x14ac:dyDescent="0.2">
      <c r="A98" s="50" t="s">
        <v>248</v>
      </c>
      <c r="B98" t="s">
        <v>250</v>
      </c>
      <c r="C98" s="50" t="s">
        <v>251</v>
      </c>
      <c r="D98" s="50" t="s">
        <v>256</v>
      </c>
      <c r="E98" s="29"/>
      <c r="F98" s="29"/>
      <c r="G98" s="29"/>
      <c r="H98" s="29"/>
      <c r="I98" s="29"/>
      <c r="J98" s="29"/>
      <c r="K98" s="29"/>
      <c r="L98" s="29"/>
      <c r="M98" s="29"/>
      <c r="N98" s="4"/>
      <c r="O98" s="4"/>
      <c r="P98" s="4"/>
      <c r="Q98" s="4"/>
      <c r="R98" s="4"/>
      <c r="S98" s="4"/>
      <c r="T98" s="4"/>
      <c r="U98" s="4"/>
    </row>
    <row r="99" spans="1:21" x14ac:dyDescent="0.2">
      <c r="A99" s="48" t="s">
        <v>253</v>
      </c>
      <c r="B99" s="47">
        <v>23</v>
      </c>
      <c r="C99" s="47">
        <v>48</v>
      </c>
      <c r="D99" s="47">
        <v>16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A100" s="48" t="s">
        <v>254</v>
      </c>
      <c r="B100" s="48" t="s">
        <v>252</v>
      </c>
      <c r="C100" s="48" t="s">
        <v>255</v>
      </c>
      <c r="D100" s="47">
        <v>16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38" t="s">
        <v>257</v>
      </c>
      <c r="B101" s="5">
        <v>23</v>
      </c>
      <c r="C101" s="5">
        <v>48</v>
      </c>
      <c r="D101" s="5">
        <v>16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48" t="s">
        <v>258</v>
      </c>
      <c r="B102" s="47">
        <v>11</v>
      </c>
      <c r="C102" s="47">
        <v>24</v>
      </c>
      <c r="D102" s="47">
        <v>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">
      <c r="A103" s="48" t="s">
        <v>259</v>
      </c>
      <c r="B103" s="48" t="s">
        <v>262</v>
      </c>
      <c r="C103" s="48" t="s">
        <v>261</v>
      </c>
      <c r="D103" s="47">
        <v>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">
      <c r="A104" s="38" t="s">
        <v>260</v>
      </c>
      <c r="B104" s="47">
        <v>11</v>
      </c>
      <c r="C104" s="47">
        <v>24</v>
      </c>
      <c r="D104" s="47">
        <v>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">
      <c r="A105" s="26" t="s">
        <v>263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">
      <c r="A107" s="26" t="s">
        <v>266</v>
      </c>
      <c r="B107" s="26" t="s">
        <v>268</v>
      </c>
      <c r="C107" s="26" t="s">
        <v>274</v>
      </c>
      <c r="D107" s="26" t="s">
        <v>270</v>
      </c>
      <c r="E107" s="26" t="s">
        <v>271</v>
      </c>
      <c r="F107" s="26" t="s">
        <v>313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">
      <c r="A108" s="26" t="s">
        <v>267</v>
      </c>
      <c r="B108" s="26">
        <f>112*112</f>
        <v>12544</v>
      </c>
      <c r="C108" s="51">
        <v>16</v>
      </c>
      <c r="D108" s="51">
        <v>4</v>
      </c>
      <c r="E108" s="51">
        <f>B108/C108/D108</f>
        <v>196</v>
      </c>
      <c r="F108" s="4">
        <v>2</v>
      </c>
      <c r="G108" s="4">
        <f>B108*F108*10</f>
        <v>250880</v>
      </c>
      <c r="H108" s="26" t="s">
        <v>314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">
      <c r="A109" s="26" t="s">
        <v>272</v>
      </c>
      <c r="B109" s="4">
        <f>56*56*2</f>
        <v>6272</v>
      </c>
      <c r="C109" s="51">
        <v>8</v>
      </c>
      <c r="D109" s="51">
        <v>4</v>
      </c>
      <c r="E109" s="51">
        <f>B109/C109/D109</f>
        <v>196</v>
      </c>
      <c r="F109" s="4">
        <v>2</v>
      </c>
      <c r="G109" s="4">
        <f>B109*F109*10</f>
        <v>125440</v>
      </c>
      <c r="H109" s="26" t="s">
        <v>269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">
      <c r="A110" s="4"/>
      <c r="B110" s="4"/>
      <c r="C110" s="4"/>
      <c r="D110" s="4"/>
      <c r="E110" s="4"/>
      <c r="F110" s="4"/>
      <c r="G110" s="26" t="s">
        <v>315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100" t="s">
        <v>282</v>
      </c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27"/>
      <c r="O112" s="4"/>
      <c r="P112" s="4"/>
      <c r="Q112" s="4"/>
      <c r="R112" s="4"/>
      <c r="S112" s="4"/>
      <c r="T112" s="4"/>
      <c r="U112" s="4"/>
    </row>
    <row r="113" spans="1:21" x14ac:dyDescent="0.2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27"/>
      <c r="O113" s="4"/>
      <c r="P113" s="4"/>
      <c r="Q113" s="4"/>
      <c r="R113" s="4"/>
      <c r="S113" s="4"/>
      <c r="T113" s="4"/>
      <c r="U113" s="4"/>
    </row>
    <row r="114" spans="1:21" x14ac:dyDescent="0.2">
      <c r="A114" s="50" t="s">
        <v>273</v>
      </c>
      <c r="B114" s="50" t="s">
        <v>275</v>
      </c>
      <c r="C114" s="50" t="s">
        <v>276</v>
      </c>
      <c r="D114" s="61" t="s">
        <v>312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4"/>
      <c r="O114" s="4"/>
      <c r="P114" s="4"/>
      <c r="Q114" s="4"/>
      <c r="R114" s="4"/>
      <c r="S114" s="4"/>
      <c r="T114" s="4"/>
      <c r="U114" s="4"/>
    </row>
    <row r="115" spans="1:21" x14ac:dyDescent="0.2">
      <c r="A115" s="26" t="s">
        <v>249</v>
      </c>
      <c r="B115" s="52">
        <v>16</v>
      </c>
      <c r="C115" s="52">
        <v>16</v>
      </c>
      <c r="D115">
        <v>1</v>
      </c>
      <c r="E115" s="26" t="s">
        <v>278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">
      <c r="A116" s="26" t="s">
        <v>277</v>
      </c>
      <c r="B116" s="52">
        <v>16</v>
      </c>
      <c r="C116" s="52">
        <v>64</v>
      </c>
      <c r="D116">
        <v>2</v>
      </c>
      <c r="E116" s="26" t="s">
        <v>283</v>
      </c>
      <c r="F116" s="4"/>
      <c r="G116" s="4">
        <f>B116*C116*D116</f>
        <v>2048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">
      <c r="A117" s="26" t="s">
        <v>279</v>
      </c>
      <c r="B117" s="53" t="s">
        <v>280</v>
      </c>
      <c r="C117" s="53" t="s">
        <v>280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">
      <c r="A118" s="26" t="s">
        <v>281</v>
      </c>
      <c r="B118" s="52">
        <v>16</v>
      </c>
      <c r="C118" s="52">
        <v>32</v>
      </c>
      <c r="D118">
        <v>2</v>
      </c>
      <c r="E118" s="26" t="s">
        <v>283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4"/>
      <c r="O120" s="4"/>
      <c r="P120" s="4"/>
      <c r="Q120" s="4"/>
      <c r="R120" s="4"/>
      <c r="S120" s="4"/>
      <c r="T120" s="4"/>
      <c r="U120" s="4"/>
    </row>
    <row r="121" spans="1:21" x14ac:dyDescent="0.2">
      <c r="A121" s="100" t="s">
        <v>350</v>
      </c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27"/>
      <c r="O121" s="4"/>
      <c r="P121" s="4"/>
      <c r="Q121" s="4"/>
      <c r="R121" s="4"/>
      <c r="S121" s="4"/>
      <c r="T121" s="4"/>
      <c r="U121" s="4"/>
    </row>
    <row r="122" spans="1:21" x14ac:dyDescent="0.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27"/>
      <c r="O122" s="4"/>
      <c r="P122" s="4"/>
      <c r="Q122" s="4"/>
      <c r="R122" s="4"/>
      <c r="S122" s="4"/>
      <c r="T122" s="4"/>
      <c r="U122" s="4"/>
    </row>
    <row r="123" spans="1:21" x14ac:dyDescent="0.2">
      <c r="A123" s="66" t="s">
        <v>351</v>
      </c>
      <c r="B123" s="54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4"/>
      <c r="O123" s="4"/>
      <c r="P123" s="4"/>
      <c r="Q123" s="4"/>
      <c r="R123" s="4"/>
      <c r="S123" s="4"/>
      <c r="T123" s="4"/>
      <c r="U123" s="4"/>
    </row>
    <row r="124" spans="1:21" x14ac:dyDescent="0.2">
      <c r="A124" s="66" t="s">
        <v>352</v>
      </c>
      <c r="B124" s="67" t="s">
        <v>357</v>
      </c>
      <c r="C124" s="26" t="s">
        <v>354</v>
      </c>
      <c r="D124" s="26" t="s">
        <v>355</v>
      </c>
      <c r="E124" s="26" t="s">
        <v>320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">
      <c r="A125" s="50" t="s">
        <v>356</v>
      </c>
      <c r="B125" s="4">
        <v>16</v>
      </c>
      <c r="C125" s="4">
        <v>256</v>
      </c>
      <c r="D125" s="4">
        <v>1</v>
      </c>
      <c r="E125" s="26" t="s">
        <v>358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">
      <c r="A126" s="50" t="s">
        <v>359</v>
      </c>
      <c r="B126" s="4">
        <v>8</v>
      </c>
      <c r="C126" s="4">
        <v>256</v>
      </c>
      <c r="D126" s="4">
        <v>1</v>
      </c>
      <c r="E126" s="26" t="s">
        <v>363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">
      <c r="A127" s="68" t="s">
        <v>360</v>
      </c>
      <c r="B127" s="28">
        <v>16</v>
      </c>
      <c r="C127" s="28">
        <v>16</v>
      </c>
      <c r="D127" s="28">
        <v>1</v>
      </c>
      <c r="E127" s="26" t="s">
        <v>361</v>
      </c>
      <c r="F127" s="28"/>
      <c r="G127" s="28"/>
      <c r="H127" s="28"/>
      <c r="I127" s="28"/>
      <c r="J127" s="28"/>
      <c r="K127" s="28"/>
      <c r="L127" s="28"/>
      <c r="M127" s="28"/>
      <c r="N127" s="4"/>
      <c r="O127" s="4"/>
      <c r="P127" s="4"/>
      <c r="Q127" s="4"/>
      <c r="R127" s="4"/>
      <c r="S127" s="4"/>
      <c r="T127" s="4"/>
      <c r="U127" s="4"/>
    </row>
    <row r="128" spans="1:21" x14ac:dyDescent="0.2">
      <c r="A128" s="68" t="s">
        <v>362</v>
      </c>
      <c r="B128" s="28">
        <v>8</v>
      </c>
      <c r="C128" s="28">
        <v>16</v>
      </c>
      <c r="D128" s="28">
        <v>1</v>
      </c>
      <c r="E128" s="26" t="s">
        <v>364</v>
      </c>
      <c r="F128" s="28"/>
      <c r="G128" s="28"/>
      <c r="H128" s="28"/>
      <c r="I128" s="28"/>
      <c r="J128" s="28"/>
      <c r="K128" s="28"/>
      <c r="L128" s="28"/>
      <c r="M128" s="28"/>
      <c r="N128" s="4"/>
      <c r="O128" s="4"/>
      <c r="P128" s="4"/>
      <c r="Q128" s="4"/>
      <c r="R128" s="4"/>
      <c r="S128" s="4"/>
      <c r="T128" s="4"/>
      <c r="U128" s="4"/>
    </row>
    <row r="129" spans="14:21" x14ac:dyDescent="0.2">
      <c r="N129" s="27"/>
      <c r="O129" s="4"/>
      <c r="P129" s="4"/>
      <c r="Q129" s="4"/>
      <c r="R129" s="4"/>
      <c r="S129" s="4"/>
      <c r="T129" s="4"/>
      <c r="U129" s="4"/>
    </row>
    <row r="130" spans="14:21" x14ac:dyDescent="0.2">
      <c r="N130" s="27"/>
      <c r="O130" s="4"/>
      <c r="P130" s="4"/>
      <c r="Q130" s="4"/>
      <c r="R130" s="4"/>
      <c r="S130" s="4"/>
      <c r="T130" s="4"/>
      <c r="U130" s="4"/>
    </row>
    <row r="131" spans="14:21" x14ac:dyDescent="0.2">
      <c r="N131" s="4"/>
      <c r="O131" s="4"/>
      <c r="P131" s="4"/>
      <c r="Q131" s="4"/>
      <c r="R131" s="4"/>
      <c r="S131" s="4"/>
      <c r="T131" s="4"/>
      <c r="U131" s="4"/>
    </row>
    <row r="132" spans="14:21" x14ac:dyDescent="0.2">
      <c r="N132" s="4"/>
      <c r="O132" s="4"/>
      <c r="P132" s="4"/>
      <c r="Q132" s="4"/>
      <c r="R132" s="4"/>
      <c r="S132" s="4"/>
      <c r="T132" s="4"/>
      <c r="U132" s="4"/>
    </row>
    <row r="133" spans="14:21" x14ac:dyDescent="0.2">
      <c r="N133" s="4"/>
      <c r="O133" s="4"/>
      <c r="P133" s="4"/>
      <c r="Q133" s="4"/>
      <c r="R133" s="4"/>
      <c r="S133" s="4"/>
      <c r="T133" s="4"/>
      <c r="U133" s="4"/>
    </row>
    <row r="134" spans="14:21" x14ac:dyDescent="0.2">
      <c r="N134" s="4"/>
      <c r="O134" s="4"/>
      <c r="P134" s="4"/>
      <c r="Q134" s="4"/>
      <c r="R134" s="4"/>
      <c r="S134" s="4"/>
      <c r="T134" s="4"/>
      <c r="U134" s="4"/>
    </row>
    <row r="135" spans="14:21" x14ac:dyDescent="0.2">
      <c r="N135" s="4"/>
      <c r="O135" s="4"/>
      <c r="P135" s="4"/>
      <c r="Q135" s="4"/>
      <c r="R135" s="4"/>
      <c r="S135" s="4"/>
      <c r="T135" s="4"/>
      <c r="U135" s="4"/>
    </row>
    <row r="136" spans="14:21" x14ac:dyDescent="0.2">
      <c r="N136" s="4"/>
      <c r="O136" s="4"/>
      <c r="P136" s="4"/>
      <c r="Q136" s="4"/>
      <c r="R136" s="4"/>
      <c r="S136" s="4"/>
      <c r="T136" s="4"/>
      <c r="U136" s="4"/>
    </row>
    <row r="137" spans="14:21" x14ac:dyDescent="0.2">
      <c r="N137" s="4"/>
      <c r="O137" s="4"/>
      <c r="P137" s="4"/>
      <c r="Q137" s="4"/>
      <c r="R137" s="4"/>
      <c r="S137" s="4"/>
      <c r="T137" s="4"/>
      <c r="U137" s="4"/>
    </row>
    <row r="138" spans="14:21" x14ac:dyDescent="0.2">
      <c r="N138" s="4"/>
      <c r="O138" s="4"/>
      <c r="P138" s="4"/>
      <c r="Q138" s="4"/>
      <c r="R138" s="4"/>
      <c r="S138" s="4"/>
      <c r="T138" s="4"/>
      <c r="U138" s="4"/>
    </row>
    <row r="139" spans="14:21" x14ac:dyDescent="0.2">
      <c r="N139" s="4"/>
      <c r="O139" s="4"/>
      <c r="P139" s="4"/>
      <c r="Q139" s="4"/>
      <c r="R139" s="4"/>
      <c r="S139" s="4"/>
      <c r="T139" s="4"/>
      <c r="U139" s="4"/>
    </row>
    <row r="140" spans="14:21" x14ac:dyDescent="0.2">
      <c r="N140" s="4"/>
      <c r="O140" s="4"/>
      <c r="P140" s="4"/>
      <c r="Q140" s="4"/>
      <c r="R140" s="4"/>
      <c r="S140" s="4"/>
      <c r="T140" s="4"/>
      <c r="U140" s="4"/>
    </row>
    <row r="141" spans="14:21" x14ac:dyDescent="0.2">
      <c r="N141" s="4"/>
      <c r="O141" s="4"/>
      <c r="P141" s="4"/>
      <c r="Q141" s="4"/>
      <c r="R141" s="4"/>
      <c r="S141" s="4"/>
      <c r="T141" s="4"/>
      <c r="U141" s="4"/>
    </row>
    <row r="142" spans="14:21" x14ac:dyDescent="0.2">
      <c r="N142" s="4"/>
      <c r="O142" s="4"/>
      <c r="P142" s="4"/>
      <c r="Q142" s="4"/>
      <c r="R142" s="4"/>
      <c r="S142" s="4"/>
      <c r="T142" s="4"/>
      <c r="U142" s="4"/>
    </row>
    <row r="143" spans="14:21" x14ac:dyDescent="0.2">
      <c r="N143" s="4"/>
      <c r="O143" s="4"/>
      <c r="P143" s="4"/>
      <c r="Q143" s="4"/>
      <c r="R143" s="4"/>
      <c r="S143" s="4"/>
      <c r="T143" s="4"/>
      <c r="U143" s="4"/>
    </row>
    <row r="144" spans="14:21" x14ac:dyDescent="0.2">
      <c r="N144" s="4"/>
      <c r="O144" s="4"/>
      <c r="P144" s="4"/>
      <c r="Q144" s="4"/>
      <c r="R144" s="4"/>
      <c r="S144" s="4"/>
      <c r="T144" s="4"/>
      <c r="U144" s="4"/>
    </row>
    <row r="145" spans="14:21" x14ac:dyDescent="0.2">
      <c r="N145" s="4"/>
      <c r="O145" s="4"/>
      <c r="P145" s="4"/>
      <c r="Q145" s="4"/>
      <c r="R145" s="4"/>
      <c r="S145" s="4"/>
      <c r="T145" s="4"/>
      <c r="U145" s="4"/>
    </row>
    <row r="146" spans="14:21" x14ac:dyDescent="0.2">
      <c r="N146" s="4"/>
      <c r="O146" s="4"/>
      <c r="P146" s="4"/>
      <c r="Q146" s="4"/>
      <c r="R146" s="4"/>
      <c r="S146" s="4"/>
      <c r="T146" s="4"/>
      <c r="U146" s="4"/>
    </row>
    <row r="147" spans="14:21" x14ac:dyDescent="0.2">
      <c r="N147" s="4"/>
      <c r="O147" s="4"/>
      <c r="P147" s="4"/>
      <c r="Q147" s="4"/>
      <c r="R147" s="4"/>
      <c r="S147" s="4"/>
      <c r="T147" s="4"/>
      <c r="U147" s="4"/>
    </row>
    <row r="148" spans="14:21" x14ac:dyDescent="0.2">
      <c r="N148" s="4"/>
      <c r="O148" s="4"/>
      <c r="P148" s="4"/>
      <c r="Q148" s="4"/>
      <c r="R148" s="4"/>
      <c r="S148" s="4"/>
      <c r="T148" s="4"/>
      <c r="U148" s="4"/>
    </row>
    <row r="149" spans="14:21" x14ac:dyDescent="0.2">
      <c r="N149" s="4"/>
      <c r="O149" s="4"/>
      <c r="P149" s="4"/>
      <c r="Q149" s="4"/>
      <c r="R149" s="4"/>
      <c r="S149" s="4"/>
      <c r="T149" s="4"/>
      <c r="U149" s="4"/>
    </row>
    <row r="150" spans="14:21" x14ac:dyDescent="0.2">
      <c r="N150" s="4"/>
      <c r="O150" s="4"/>
      <c r="P150" s="4"/>
      <c r="Q150" s="4"/>
      <c r="R150" s="4"/>
      <c r="S150" s="4"/>
      <c r="T150" s="4"/>
      <c r="U150" s="4"/>
    </row>
    <row r="151" spans="14:21" x14ac:dyDescent="0.2">
      <c r="N151" s="4"/>
      <c r="O151" s="4"/>
      <c r="P151" s="4"/>
      <c r="Q151" s="4"/>
      <c r="R151" s="4"/>
      <c r="S151" s="4"/>
      <c r="T151" s="4"/>
      <c r="U151" s="4"/>
    </row>
    <row r="152" spans="14:21" x14ac:dyDescent="0.2">
      <c r="N152" s="4"/>
      <c r="O152" s="4"/>
      <c r="P152" s="4"/>
      <c r="Q152" s="4"/>
      <c r="R152" s="4"/>
      <c r="S152" s="4"/>
      <c r="T152" s="4"/>
      <c r="U152" s="4"/>
    </row>
    <row r="153" spans="14:21" x14ac:dyDescent="0.2">
      <c r="N153" s="4"/>
      <c r="O153" s="4"/>
      <c r="P153" s="4"/>
      <c r="Q153" s="4"/>
      <c r="R153" s="4"/>
      <c r="S153" s="4"/>
      <c r="T153" s="4"/>
      <c r="U153" s="4"/>
    </row>
    <row r="154" spans="14:21" x14ac:dyDescent="0.2">
      <c r="N154" s="4"/>
      <c r="O154" s="4"/>
      <c r="P154" s="4"/>
      <c r="Q154" s="4"/>
      <c r="R154" s="4"/>
      <c r="S154" s="4"/>
      <c r="T154" s="4"/>
      <c r="U154" s="4"/>
    </row>
    <row r="155" spans="14:21" x14ac:dyDescent="0.2">
      <c r="N155" s="4"/>
      <c r="O155" s="4"/>
      <c r="P155" s="4"/>
      <c r="Q155" s="4"/>
      <c r="R155" s="4"/>
      <c r="S155" s="4"/>
      <c r="T155" s="4"/>
      <c r="U155" s="4"/>
    </row>
    <row r="156" spans="14:21" x14ac:dyDescent="0.2">
      <c r="N156" s="4"/>
      <c r="O156" s="4"/>
      <c r="P156" s="4"/>
      <c r="Q156" s="4"/>
      <c r="R156" s="4"/>
      <c r="S156" s="4"/>
      <c r="T156" s="4"/>
      <c r="U156" s="4"/>
    </row>
    <row r="157" spans="14:21" x14ac:dyDescent="0.2">
      <c r="N157" s="4"/>
      <c r="O157" s="4"/>
      <c r="P157" s="4"/>
      <c r="Q157" s="4"/>
      <c r="R157" s="4"/>
      <c r="S157" s="4"/>
      <c r="T157" s="4"/>
      <c r="U157" s="4"/>
    </row>
    <row r="158" spans="14:21" x14ac:dyDescent="0.2">
      <c r="N158" s="4"/>
      <c r="O158" s="4"/>
      <c r="P158" s="4"/>
      <c r="Q158" s="4"/>
      <c r="R158" s="4"/>
      <c r="S158" s="4"/>
      <c r="T158" s="4"/>
      <c r="U158" s="4"/>
    </row>
    <row r="159" spans="14:21" x14ac:dyDescent="0.2">
      <c r="N159" s="4"/>
      <c r="O159" s="4"/>
      <c r="P159" s="4"/>
      <c r="Q159" s="4"/>
      <c r="R159" s="4"/>
      <c r="S159" s="4"/>
      <c r="T159" s="4"/>
      <c r="U159" s="4"/>
    </row>
    <row r="160" spans="14:21" x14ac:dyDescent="0.2">
      <c r="N160" s="4"/>
      <c r="O160" s="4"/>
      <c r="P160" s="4"/>
      <c r="Q160" s="4"/>
      <c r="R160" s="4"/>
      <c r="S160" s="4"/>
      <c r="T160" s="4"/>
      <c r="U160" s="4"/>
    </row>
    <row r="161" spans="14:21" x14ac:dyDescent="0.2">
      <c r="N161" s="4"/>
      <c r="O161" s="4"/>
      <c r="P161" s="4"/>
      <c r="Q161" s="4"/>
      <c r="R161" s="4"/>
      <c r="S161" s="4"/>
      <c r="T161" s="4"/>
      <c r="U161" s="4"/>
    </row>
    <row r="162" spans="14:21" x14ac:dyDescent="0.2">
      <c r="N162" s="4"/>
      <c r="O162" s="4"/>
      <c r="P162" s="4"/>
      <c r="Q162" s="4"/>
      <c r="R162" s="4"/>
      <c r="S162" s="4"/>
      <c r="T162" s="4"/>
      <c r="U162" s="4"/>
    </row>
    <row r="163" spans="14:21" x14ac:dyDescent="0.2">
      <c r="N163" s="4"/>
      <c r="O163" s="4"/>
      <c r="P163" s="4"/>
      <c r="Q163" s="4"/>
      <c r="R163" s="4"/>
      <c r="S163" s="4"/>
      <c r="T163" s="4"/>
      <c r="U163" s="4"/>
    </row>
    <row r="164" spans="14:21" x14ac:dyDescent="0.2">
      <c r="N164" s="4"/>
      <c r="O164" s="4"/>
      <c r="P164" s="4"/>
      <c r="Q164" s="4"/>
      <c r="R164" s="4"/>
      <c r="S164" s="4"/>
      <c r="T164" s="4"/>
      <c r="U164" s="4"/>
    </row>
    <row r="165" spans="14:21" x14ac:dyDescent="0.2">
      <c r="N165" s="108"/>
      <c r="O165" s="109"/>
      <c r="P165" s="4"/>
      <c r="Q165" s="4"/>
      <c r="R165" s="4"/>
      <c r="S165" s="4"/>
      <c r="T165" s="4"/>
      <c r="U165" s="4"/>
    </row>
    <row r="166" spans="14:21" x14ac:dyDescent="0.2">
      <c r="N166" s="4"/>
      <c r="O166" s="4"/>
      <c r="P166" s="4"/>
      <c r="Q166" s="4"/>
      <c r="R166" s="4"/>
      <c r="S166" s="4"/>
      <c r="T166" s="4"/>
      <c r="U166" s="4"/>
    </row>
    <row r="167" spans="14:21" x14ac:dyDescent="0.2">
      <c r="N167" s="4"/>
      <c r="O167" s="4"/>
      <c r="P167" s="4"/>
      <c r="Q167" s="4"/>
      <c r="R167" s="4"/>
      <c r="S167" s="4"/>
      <c r="T167" s="4"/>
      <c r="U167" s="4"/>
    </row>
    <row r="168" spans="14:21" x14ac:dyDescent="0.2">
      <c r="N168" s="4"/>
      <c r="O168" s="4"/>
      <c r="P168" s="4"/>
      <c r="Q168" s="4"/>
      <c r="R168" s="4"/>
      <c r="S168" s="4"/>
      <c r="T168" s="4"/>
      <c r="U168" s="4"/>
    </row>
    <row r="169" spans="14:21" x14ac:dyDescent="0.2">
      <c r="N169" s="4"/>
      <c r="O169" s="4"/>
      <c r="P169" s="4"/>
      <c r="Q169" s="4"/>
      <c r="R169" s="4"/>
      <c r="S169" s="4"/>
      <c r="T169" s="4"/>
      <c r="U169" s="4"/>
    </row>
    <row r="170" spans="14:21" x14ac:dyDescent="0.2">
      <c r="N170" s="4"/>
      <c r="O170" s="4"/>
      <c r="P170" s="4"/>
      <c r="Q170" s="4"/>
      <c r="R170" s="4"/>
      <c r="S170" s="4"/>
      <c r="T170" s="4"/>
      <c r="U170" s="4"/>
    </row>
    <row r="171" spans="14:21" x14ac:dyDescent="0.2">
      <c r="N171" s="4"/>
      <c r="O171" s="4"/>
      <c r="P171" s="4"/>
      <c r="Q171" s="4"/>
      <c r="R171" s="4"/>
      <c r="S171" s="4"/>
      <c r="T171" s="4"/>
      <c r="U171" s="4"/>
    </row>
    <row r="172" spans="14:21" x14ac:dyDescent="0.2">
      <c r="N172" s="4"/>
      <c r="O172" s="4"/>
      <c r="P172" s="4"/>
      <c r="Q172" s="4"/>
      <c r="R172" s="4"/>
      <c r="S172" s="4"/>
      <c r="T172" s="4"/>
      <c r="U172" s="4"/>
    </row>
    <row r="173" spans="14:21" x14ac:dyDescent="0.2">
      <c r="N173" s="4"/>
      <c r="O173" s="4"/>
      <c r="P173" s="4"/>
      <c r="Q173" s="4"/>
      <c r="R173" s="4"/>
      <c r="S173" s="4"/>
      <c r="T173" s="4"/>
      <c r="U173" s="4"/>
    </row>
    <row r="174" spans="14:21" x14ac:dyDescent="0.2">
      <c r="N174" s="4"/>
      <c r="O174" s="4"/>
      <c r="P174" s="4"/>
      <c r="Q174" s="4"/>
      <c r="R174" s="4"/>
      <c r="S174" s="4"/>
      <c r="T174" s="4"/>
      <c r="U174" s="4"/>
    </row>
    <row r="175" spans="14:21" x14ac:dyDescent="0.2">
      <c r="N175" s="4"/>
      <c r="O175" s="4"/>
      <c r="P175" s="4"/>
      <c r="Q175" s="4"/>
      <c r="R175" s="4"/>
      <c r="S175" s="4"/>
      <c r="T175" s="4"/>
      <c r="U175" s="4"/>
    </row>
    <row r="176" spans="14:21" x14ac:dyDescent="0.2">
      <c r="N176" s="4"/>
      <c r="O176" s="4"/>
      <c r="P176" s="4"/>
      <c r="Q176" s="4"/>
      <c r="R176" s="4"/>
      <c r="S176" s="4"/>
      <c r="T176" s="4"/>
      <c r="U176" s="4"/>
    </row>
    <row r="177" spans="14:21" x14ac:dyDescent="0.2">
      <c r="N177" s="4"/>
      <c r="O177" s="4"/>
      <c r="P177" s="4"/>
      <c r="Q177" s="4"/>
      <c r="R177" s="4"/>
      <c r="S177" s="4"/>
      <c r="T177" s="4"/>
      <c r="U177" s="4"/>
    </row>
    <row r="178" spans="14:21" x14ac:dyDescent="0.2">
      <c r="N178" s="4"/>
      <c r="O178" s="4"/>
      <c r="P178" s="4"/>
      <c r="Q178" s="4"/>
      <c r="R178" s="4"/>
      <c r="S178" s="4"/>
      <c r="T178" s="4"/>
      <c r="U178" s="4"/>
    </row>
    <row r="179" spans="14:21" x14ac:dyDescent="0.2">
      <c r="N179" s="4"/>
      <c r="O179" s="4"/>
      <c r="P179" s="4"/>
      <c r="Q179" s="4"/>
      <c r="R179" s="4"/>
      <c r="S179" s="4"/>
      <c r="T179" s="4"/>
      <c r="U179" s="4"/>
    </row>
    <row r="180" spans="14:21" x14ac:dyDescent="0.2">
      <c r="N180" s="4"/>
      <c r="O180" s="4"/>
      <c r="P180" s="4"/>
      <c r="Q180" s="4"/>
      <c r="R180" s="4"/>
      <c r="S180" s="4"/>
      <c r="T180" s="4"/>
      <c r="U180" s="4"/>
    </row>
    <row r="181" spans="14:21" x14ac:dyDescent="0.2">
      <c r="N181" s="4"/>
      <c r="O181" s="4"/>
      <c r="P181" s="4"/>
      <c r="Q181" s="4"/>
      <c r="R181" s="4"/>
      <c r="S181" s="4"/>
      <c r="T181" s="4"/>
      <c r="U181" s="4"/>
    </row>
    <row r="182" spans="14:21" x14ac:dyDescent="0.2">
      <c r="N182" s="4"/>
      <c r="O182" s="4"/>
      <c r="P182" s="4"/>
      <c r="Q182" s="4"/>
      <c r="R182" s="4"/>
      <c r="S182" s="4"/>
      <c r="T182" s="4"/>
      <c r="U182" s="4"/>
    </row>
    <row r="183" spans="14:21" x14ac:dyDescent="0.2">
      <c r="N183" s="4"/>
      <c r="O183" s="4"/>
      <c r="P183" s="4"/>
      <c r="Q183" s="4"/>
      <c r="R183" s="4"/>
      <c r="S183" s="4"/>
      <c r="T183" s="4"/>
      <c r="U183" s="4"/>
    </row>
    <row r="184" spans="14:21" x14ac:dyDescent="0.2">
      <c r="N184" s="4"/>
      <c r="O184" s="4"/>
      <c r="P184" s="4"/>
      <c r="Q184" s="4"/>
      <c r="R184" s="4"/>
      <c r="S184" s="4"/>
      <c r="T184" s="4"/>
      <c r="U184" s="4"/>
    </row>
    <row r="185" spans="14:21" x14ac:dyDescent="0.2">
      <c r="N185" s="4"/>
      <c r="O185" s="4"/>
      <c r="P185" s="4"/>
      <c r="Q185" s="4"/>
      <c r="R185" s="4"/>
      <c r="S185" s="4"/>
      <c r="T185" s="4"/>
      <c r="U185" s="4"/>
    </row>
    <row r="186" spans="14:21" x14ac:dyDescent="0.2">
      <c r="N186" s="4"/>
      <c r="O186" s="4"/>
      <c r="P186" s="4"/>
      <c r="Q186" s="4"/>
      <c r="R186" s="4"/>
      <c r="S186" s="4"/>
      <c r="T186" s="4"/>
      <c r="U186" s="4"/>
    </row>
    <row r="187" spans="14:21" x14ac:dyDescent="0.2">
      <c r="N187" s="4"/>
      <c r="O187" s="4"/>
      <c r="P187" s="4"/>
      <c r="Q187" s="4"/>
      <c r="R187" s="4"/>
      <c r="S187" s="4"/>
      <c r="T187" s="4"/>
      <c r="U187" s="4"/>
    </row>
    <row r="188" spans="14:21" x14ac:dyDescent="0.2">
      <c r="N188" s="4"/>
      <c r="O188" s="4"/>
      <c r="P188" s="4"/>
      <c r="Q188" s="4"/>
      <c r="R188" s="4"/>
      <c r="S188" s="4"/>
      <c r="T188" s="4"/>
      <c r="U188" s="4"/>
    </row>
    <row r="189" spans="14:21" x14ac:dyDescent="0.2">
      <c r="N189" s="4"/>
      <c r="O189" s="4"/>
      <c r="P189" s="4"/>
      <c r="Q189" s="4"/>
      <c r="R189" s="4"/>
      <c r="S189" s="4"/>
      <c r="T189" s="4"/>
      <c r="U189" s="4"/>
    </row>
    <row r="190" spans="14:21" x14ac:dyDescent="0.2">
      <c r="N190" s="4"/>
      <c r="O190" s="4"/>
      <c r="P190" s="4"/>
      <c r="Q190" s="4"/>
      <c r="R190" s="4"/>
      <c r="S190" s="4"/>
      <c r="T190" s="4"/>
      <c r="U190" s="4"/>
    </row>
    <row r="191" spans="14:21" x14ac:dyDescent="0.2">
      <c r="N191" s="4"/>
      <c r="O191" s="4"/>
      <c r="P191" s="4"/>
      <c r="Q191" s="4"/>
      <c r="R191" s="4"/>
      <c r="S191" s="4"/>
      <c r="T191" s="4"/>
      <c r="U191" s="4"/>
    </row>
    <row r="192" spans="14:21" x14ac:dyDescent="0.2">
      <c r="N192" s="4"/>
      <c r="O192" s="4"/>
      <c r="P192" s="4"/>
      <c r="Q192" s="4"/>
      <c r="R192" s="4"/>
      <c r="S192" s="4"/>
      <c r="T192" s="4"/>
      <c r="U192" s="4"/>
    </row>
    <row r="193" spans="14:21" x14ac:dyDescent="0.2">
      <c r="N193" s="4"/>
      <c r="O193" s="4"/>
      <c r="P193" s="4"/>
      <c r="Q193" s="4"/>
      <c r="R193" s="4"/>
      <c r="S193" s="4"/>
      <c r="T193" s="4"/>
      <c r="U193" s="4"/>
    </row>
    <row r="194" spans="14:21" x14ac:dyDescent="0.2">
      <c r="N194" s="4"/>
      <c r="O194" s="4"/>
      <c r="P194" s="4"/>
      <c r="Q194" s="4"/>
      <c r="R194" s="4"/>
      <c r="S194" s="4"/>
      <c r="T194" s="4"/>
      <c r="U194" s="4"/>
    </row>
    <row r="195" spans="14:21" x14ac:dyDescent="0.2">
      <c r="N195" s="4"/>
      <c r="O195" s="4"/>
      <c r="P195" s="4"/>
      <c r="Q195" s="4"/>
      <c r="R195" s="4"/>
      <c r="S195" s="4"/>
      <c r="T195" s="4"/>
      <c r="U195" s="4"/>
    </row>
    <row r="196" spans="14:21" x14ac:dyDescent="0.2">
      <c r="N196" s="4"/>
      <c r="O196" s="4"/>
      <c r="P196" s="4"/>
      <c r="Q196" s="4"/>
      <c r="R196" s="4"/>
      <c r="S196" s="4"/>
      <c r="T196" s="4"/>
      <c r="U196" s="4"/>
    </row>
    <row r="197" spans="14:21" x14ac:dyDescent="0.2">
      <c r="N197" s="4"/>
      <c r="O197" s="4"/>
      <c r="P197" s="4"/>
      <c r="Q197" s="4"/>
      <c r="R197" s="4"/>
      <c r="S197" s="4"/>
      <c r="T197" s="4"/>
      <c r="U197" s="4"/>
    </row>
    <row r="198" spans="14:21" x14ac:dyDescent="0.2">
      <c r="N198" s="4"/>
      <c r="O198" s="4"/>
      <c r="P198" s="4"/>
      <c r="Q198" s="4"/>
      <c r="R198" s="4"/>
      <c r="S198" s="4"/>
      <c r="T198" s="4"/>
      <c r="U198" s="4"/>
    </row>
    <row r="199" spans="14:21" x14ac:dyDescent="0.2">
      <c r="N199" s="4"/>
      <c r="O199" s="4"/>
      <c r="P199" s="4"/>
      <c r="Q199" s="4"/>
      <c r="R199" s="4"/>
      <c r="S199" s="4"/>
      <c r="T199" s="4"/>
      <c r="U199" s="4"/>
    </row>
    <row r="200" spans="14:21" x14ac:dyDescent="0.2">
      <c r="N200" s="4"/>
      <c r="O200" s="4"/>
      <c r="P200" s="4"/>
      <c r="Q200" s="4"/>
      <c r="R200" s="4"/>
      <c r="S200" s="4"/>
      <c r="T200" s="4"/>
      <c r="U200" s="4"/>
    </row>
    <row r="201" spans="14:21" x14ac:dyDescent="0.2">
      <c r="N201" s="4"/>
      <c r="O201" s="4"/>
      <c r="P201" s="4"/>
      <c r="Q201" s="4"/>
      <c r="R201" s="4"/>
      <c r="S201" s="4"/>
      <c r="T201" s="4"/>
      <c r="U201" s="4"/>
    </row>
    <row r="202" spans="14:21" x14ac:dyDescent="0.2">
      <c r="N202" s="4"/>
      <c r="O202" s="4"/>
      <c r="P202" s="4"/>
      <c r="Q202" s="4"/>
      <c r="R202" s="4"/>
      <c r="S202" s="4"/>
      <c r="T202" s="4"/>
      <c r="U202" s="4"/>
    </row>
    <row r="203" spans="14:21" x14ac:dyDescent="0.2">
      <c r="N203" s="4"/>
      <c r="O203" s="4"/>
      <c r="P203" s="4"/>
      <c r="Q203" s="4"/>
      <c r="R203" s="4"/>
      <c r="S203" s="4"/>
      <c r="T203" s="4"/>
      <c r="U203" s="4"/>
    </row>
    <row r="204" spans="14:21" x14ac:dyDescent="0.2">
      <c r="N204" s="4"/>
      <c r="O204" s="4"/>
      <c r="P204" s="4"/>
      <c r="Q204" s="4"/>
      <c r="R204" s="4"/>
      <c r="S204" s="4"/>
      <c r="T204" s="4"/>
      <c r="U204" s="4"/>
    </row>
    <row r="205" spans="14:21" x14ac:dyDescent="0.2">
      <c r="N205" s="4"/>
      <c r="O205" s="4"/>
      <c r="P205" s="4"/>
      <c r="Q205" s="4"/>
      <c r="R205" s="4"/>
      <c r="S205" s="4"/>
      <c r="T205" s="4"/>
      <c r="U205" s="4"/>
    </row>
    <row r="206" spans="14:21" x14ac:dyDescent="0.2">
      <c r="N206" s="4"/>
      <c r="O206" s="4"/>
      <c r="P206" s="4"/>
      <c r="Q206" s="4"/>
      <c r="R206" s="4"/>
      <c r="S206" s="4"/>
      <c r="T206" s="4"/>
      <c r="U206" s="4"/>
    </row>
    <row r="207" spans="14:21" x14ac:dyDescent="0.2">
      <c r="N207" s="4"/>
      <c r="O207" s="4"/>
      <c r="P207" s="4"/>
      <c r="Q207" s="4"/>
      <c r="R207" s="4"/>
      <c r="S207" s="4"/>
      <c r="T207" s="4"/>
      <c r="U207" s="4"/>
    </row>
    <row r="208" spans="14:21" x14ac:dyDescent="0.2">
      <c r="N208" s="4"/>
      <c r="O208" s="4"/>
      <c r="P208" s="4"/>
      <c r="Q208" s="4"/>
      <c r="R208" s="4"/>
      <c r="S208" s="4"/>
      <c r="T208" s="4"/>
      <c r="U208" s="4"/>
    </row>
    <row r="209" spans="1:21" x14ac:dyDescent="0.2">
      <c r="N209" s="4"/>
      <c r="O209" s="4"/>
      <c r="P209" s="4"/>
      <c r="Q209" s="4"/>
      <c r="R209" s="4"/>
      <c r="S209" s="4"/>
      <c r="T209" s="4"/>
      <c r="U209" s="4"/>
    </row>
    <row r="210" spans="1:21" x14ac:dyDescent="0.2">
      <c r="N210" s="4"/>
      <c r="O210" s="4"/>
      <c r="P210" s="4"/>
      <c r="Q210" s="4"/>
      <c r="R210" s="4"/>
      <c r="S210" s="4"/>
      <c r="T210" s="4"/>
      <c r="U210" s="4"/>
    </row>
    <row r="211" spans="1:21" x14ac:dyDescent="0.2">
      <c r="N211" s="4"/>
      <c r="O211" s="4"/>
      <c r="P211" s="4"/>
      <c r="Q211" s="4"/>
      <c r="R211" s="4"/>
      <c r="S211" s="4"/>
      <c r="T211" s="4"/>
      <c r="U211" s="4"/>
    </row>
    <row r="212" spans="1:21" x14ac:dyDescent="0.2">
      <c r="N212" s="4"/>
      <c r="O212" s="4"/>
      <c r="P212" s="4"/>
      <c r="Q212" s="4"/>
      <c r="R212" s="4"/>
      <c r="S212" s="4"/>
      <c r="T212" s="4"/>
      <c r="U212" s="4"/>
    </row>
    <row r="213" spans="1:21" x14ac:dyDescent="0.2">
      <c r="N213" s="4"/>
      <c r="O213" s="4"/>
      <c r="P213" s="4"/>
      <c r="Q213" s="4"/>
      <c r="R213" s="4"/>
      <c r="S213" s="4"/>
      <c r="T213" s="4"/>
      <c r="U213" s="4"/>
    </row>
    <row r="214" spans="1:21" x14ac:dyDescent="0.2">
      <c r="N214" s="4"/>
      <c r="O214" s="4"/>
      <c r="P214" s="4"/>
      <c r="Q214" s="4"/>
      <c r="R214" s="4"/>
      <c r="S214" s="4"/>
      <c r="T214" s="4"/>
      <c r="U214" s="4"/>
    </row>
    <row r="215" spans="1:21" x14ac:dyDescent="0.2">
      <c r="N215" s="4"/>
      <c r="O215" s="4"/>
      <c r="P215" s="4"/>
      <c r="Q215" s="4"/>
      <c r="R215" s="4"/>
      <c r="S215" s="4"/>
      <c r="T215" s="4"/>
      <c r="U215" s="4"/>
    </row>
    <row r="216" spans="1:21" x14ac:dyDescent="0.2">
      <c r="N216" s="4"/>
      <c r="O216" s="4"/>
      <c r="P216" s="4"/>
      <c r="Q216" s="4"/>
      <c r="R216" s="4"/>
      <c r="S216" s="4"/>
      <c r="T216" s="4"/>
      <c r="U216" s="4"/>
    </row>
    <row r="217" spans="1:21" x14ac:dyDescent="0.2">
      <c r="A217" s="4"/>
      <c r="B217" s="4"/>
      <c r="C217" s="4"/>
      <c r="D217" s="4"/>
      <c r="E217" s="4"/>
    </row>
    <row r="218" spans="1:21" x14ac:dyDescent="0.2">
      <c r="D218" s="4"/>
    </row>
    <row r="219" spans="1:21" x14ac:dyDescent="0.2">
      <c r="D219" s="4"/>
    </row>
  </sheetData>
  <mergeCells count="30">
    <mergeCell ref="N165:O165"/>
    <mergeCell ref="A8:K8"/>
    <mergeCell ref="G10:G12"/>
    <mergeCell ref="M10:M12"/>
    <mergeCell ref="O10:O11"/>
    <mergeCell ref="G17:G19"/>
    <mergeCell ref="M17:M19"/>
    <mergeCell ref="O17:O19"/>
    <mergeCell ref="A23:K23"/>
    <mergeCell ref="M26:M27"/>
    <mergeCell ref="O25:O26"/>
    <mergeCell ref="U10:U11"/>
    <mergeCell ref="O12:O14"/>
    <mergeCell ref="U12:U14"/>
    <mergeCell ref="G13:G14"/>
    <mergeCell ref="M13:M14"/>
    <mergeCell ref="U17:U19"/>
    <mergeCell ref="G20:G21"/>
    <mergeCell ref="M20:M21"/>
    <mergeCell ref="O20:O21"/>
    <mergeCell ref="U20:U21"/>
    <mergeCell ref="U25:U26"/>
    <mergeCell ref="O27:O29"/>
    <mergeCell ref="U27:U29"/>
    <mergeCell ref="A112:M113"/>
    <mergeCell ref="A121:M122"/>
    <mergeCell ref="K75:R75"/>
    <mergeCell ref="A75:I75"/>
    <mergeCell ref="P82:R82"/>
    <mergeCell ref="A96:M9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3D9A-D7FB-4457-A73F-F1468F9D0E6E}">
  <dimension ref="A1:AA99"/>
  <sheetViews>
    <sheetView topLeftCell="A11" zoomScale="115" zoomScaleNormal="115" workbookViewId="0">
      <selection activeCell="D11" sqref="D11"/>
    </sheetView>
  </sheetViews>
  <sheetFormatPr defaultRowHeight="14.25" x14ac:dyDescent="0.2"/>
  <cols>
    <col min="1" max="1" width="12.875" style="1" customWidth="1"/>
    <col min="2" max="2" width="17.75" style="1" customWidth="1"/>
    <col min="3" max="3" width="23" style="1" customWidth="1"/>
    <col min="4" max="4" width="41.875" style="1" customWidth="1"/>
    <col min="5" max="5" width="10.875" style="1" customWidth="1"/>
    <col min="6" max="12" width="9" style="1"/>
    <col min="18" max="18" width="45.75" style="1" customWidth="1"/>
    <col min="19" max="16384" width="9" style="1"/>
  </cols>
  <sheetData>
    <row r="1" spans="1:21" x14ac:dyDescent="0.2">
      <c r="A1" s="72"/>
      <c r="B1" s="72"/>
      <c r="C1" s="72"/>
      <c r="D1" s="72"/>
      <c r="E1" s="72"/>
      <c r="F1" s="72"/>
      <c r="G1" s="81"/>
      <c r="H1" s="81"/>
      <c r="I1" s="81"/>
      <c r="J1" s="81"/>
      <c r="R1" s="65"/>
      <c r="S1" s="65"/>
      <c r="T1" s="65"/>
      <c r="U1" s="65"/>
    </row>
    <row r="2" spans="1:21" x14ac:dyDescent="0.2">
      <c r="A2" s="72" t="s">
        <v>330</v>
      </c>
      <c r="B2" s="72" t="s">
        <v>331</v>
      </c>
      <c r="C2" s="72">
        <v>2</v>
      </c>
      <c r="D2" s="72" t="s">
        <v>332</v>
      </c>
      <c r="E2" s="72"/>
      <c r="F2" s="72"/>
      <c r="G2" s="81"/>
      <c r="H2" s="81"/>
      <c r="I2" s="81"/>
      <c r="J2" s="81"/>
      <c r="R2" s="65"/>
    </row>
    <row r="3" spans="1:21" x14ac:dyDescent="0.2">
      <c r="A3" s="72"/>
      <c r="B3" s="72" t="s">
        <v>333</v>
      </c>
      <c r="C3" s="72">
        <v>2</v>
      </c>
      <c r="D3" s="72" t="s">
        <v>334</v>
      </c>
      <c r="E3" s="72"/>
      <c r="F3" s="72"/>
      <c r="G3" s="72"/>
      <c r="H3" s="72"/>
      <c r="I3" s="72"/>
      <c r="J3" s="72"/>
      <c r="R3" s="65"/>
    </row>
    <row r="4" spans="1:21" x14ac:dyDescent="0.2">
      <c r="A4" s="72"/>
      <c r="B4" s="72" t="s">
        <v>336</v>
      </c>
      <c r="C4" s="72">
        <v>1</v>
      </c>
      <c r="D4" s="72" t="s">
        <v>337</v>
      </c>
      <c r="E4" s="72"/>
      <c r="F4" s="72"/>
      <c r="G4" s="72"/>
      <c r="H4" s="72"/>
      <c r="I4" s="72"/>
      <c r="J4" s="72"/>
      <c r="R4" s="65"/>
    </row>
    <row r="5" spans="1:21" x14ac:dyDescent="0.2">
      <c r="A5" s="72"/>
      <c r="B5" s="72" t="s">
        <v>338</v>
      </c>
      <c r="C5" s="72">
        <v>1</v>
      </c>
      <c r="D5" s="72" t="s">
        <v>339</v>
      </c>
      <c r="E5" s="72"/>
      <c r="F5" s="72"/>
      <c r="G5" s="72"/>
      <c r="H5" s="72"/>
      <c r="I5" s="72"/>
      <c r="J5" s="72"/>
      <c r="R5" s="65"/>
    </row>
    <row r="6" spans="1:21" x14ac:dyDescent="0.2">
      <c r="A6" s="72"/>
      <c r="B6" s="72" t="s">
        <v>365</v>
      </c>
      <c r="C6" s="72">
        <v>7</v>
      </c>
      <c r="D6" s="72" t="s">
        <v>367</v>
      </c>
      <c r="E6" s="72"/>
      <c r="F6" s="72"/>
      <c r="G6" s="72"/>
      <c r="H6" s="72"/>
      <c r="I6" s="72"/>
      <c r="J6" s="72"/>
      <c r="R6" s="65"/>
    </row>
    <row r="7" spans="1:21" x14ac:dyDescent="0.2">
      <c r="A7" s="72"/>
      <c r="B7" s="72" t="s">
        <v>366</v>
      </c>
      <c r="C7" s="72">
        <v>7</v>
      </c>
      <c r="D7" s="72"/>
      <c r="E7" s="72"/>
      <c r="F7" s="72"/>
      <c r="G7" s="72"/>
      <c r="H7" s="72"/>
      <c r="I7" s="72"/>
      <c r="J7" s="72"/>
      <c r="R7" s="65"/>
    </row>
    <row r="8" spans="1:21" x14ac:dyDescent="0.2">
      <c r="A8" s="72"/>
      <c r="B8" s="90" t="s">
        <v>564</v>
      </c>
      <c r="C8" s="90" t="s">
        <v>565</v>
      </c>
      <c r="D8" s="90" t="s">
        <v>566</v>
      </c>
      <c r="E8" s="72"/>
      <c r="F8" s="72"/>
      <c r="G8" s="72"/>
      <c r="H8" s="72"/>
      <c r="I8" s="72"/>
      <c r="J8" s="72"/>
      <c r="R8" s="65"/>
    </row>
    <row r="9" spans="1:21" x14ac:dyDescent="0.2">
      <c r="A9" s="72" t="s">
        <v>456</v>
      </c>
      <c r="B9" s="72" t="s">
        <v>464</v>
      </c>
      <c r="C9" s="72">
        <v>2</v>
      </c>
      <c r="D9" s="72" t="s">
        <v>465</v>
      </c>
      <c r="E9" s="72"/>
      <c r="F9" s="72"/>
      <c r="G9" s="72"/>
      <c r="H9" s="72"/>
      <c r="I9" s="72"/>
      <c r="J9" s="72"/>
      <c r="R9" s="65"/>
    </row>
    <row r="10" spans="1:21" x14ac:dyDescent="0.2">
      <c r="A10" s="72"/>
      <c r="B10" s="72" t="s">
        <v>415</v>
      </c>
      <c r="C10" s="72">
        <v>6</v>
      </c>
      <c r="D10" s="72" t="s">
        <v>466</v>
      </c>
      <c r="E10" s="72"/>
      <c r="F10" s="72"/>
      <c r="G10" s="72"/>
      <c r="H10" s="72"/>
      <c r="I10" s="72"/>
      <c r="J10" s="72"/>
      <c r="R10" s="65"/>
    </row>
    <row r="11" spans="1:21" x14ac:dyDescent="0.2">
      <c r="A11" s="72"/>
      <c r="B11" s="69" t="s">
        <v>500</v>
      </c>
      <c r="C11" s="72">
        <v>1</v>
      </c>
      <c r="D11" s="72" t="s">
        <v>469</v>
      </c>
      <c r="E11" s="72"/>
      <c r="F11" s="72"/>
      <c r="G11" s="72"/>
      <c r="H11" s="72"/>
      <c r="I11" s="72"/>
      <c r="J11" s="72"/>
      <c r="R11" s="65"/>
    </row>
    <row r="12" spans="1:21" x14ac:dyDescent="0.2">
      <c r="A12" s="72"/>
      <c r="B12" s="69" t="s">
        <v>501</v>
      </c>
      <c r="C12" s="72">
        <v>1</v>
      </c>
      <c r="D12" s="69" t="s">
        <v>502</v>
      </c>
      <c r="E12" s="72"/>
      <c r="F12" s="72"/>
      <c r="G12" s="72"/>
      <c r="H12" s="72"/>
      <c r="I12" s="72"/>
      <c r="J12" s="72"/>
      <c r="R12" s="65"/>
    </row>
    <row r="13" spans="1:21" x14ac:dyDescent="0.2">
      <c r="A13" s="72"/>
      <c r="B13" s="72"/>
      <c r="C13" s="72"/>
      <c r="D13" s="72"/>
      <c r="E13" s="72"/>
      <c r="F13" s="72"/>
      <c r="G13" s="72"/>
      <c r="H13" s="72"/>
      <c r="I13" s="72"/>
      <c r="J13" s="72"/>
      <c r="R13" s="65"/>
      <c r="S13" s="65"/>
      <c r="T13" s="65"/>
      <c r="U13" s="65"/>
    </row>
    <row r="14" spans="1:21" x14ac:dyDescent="0.2">
      <c r="A14" s="72" t="s">
        <v>463</v>
      </c>
      <c r="B14" s="72" t="s">
        <v>464</v>
      </c>
      <c r="C14" s="72">
        <v>2</v>
      </c>
      <c r="D14" s="72" t="s">
        <v>465</v>
      </c>
      <c r="E14" s="72"/>
      <c r="F14" s="72"/>
      <c r="G14" s="72"/>
      <c r="H14" s="72"/>
      <c r="I14" s="72"/>
      <c r="J14" s="72"/>
      <c r="S14" s="65"/>
      <c r="T14" s="65"/>
      <c r="U14" s="65"/>
    </row>
    <row r="15" spans="1:21" x14ac:dyDescent="0.2">
      <c r="A15" s="72"/>
      <c r="B15" s="72" t="s">
        <v>415</v>
      </c>
      <c r="C15" s="72">
        <v>6</v>
      </c>
      <c r="D15" s="72" t="s">
        <v>466</v>
      </c>
      <c r="E15" s="72"/>
      <c r="F15" s="72"/>
      <c r="G15" s="72"/>
      <c r="H15" s="72"/>
      <c r="I15" s="72"/>
      <c r="J15" s="72"/>
      <c r="S15" s="65"/>
      <c r="T15" s="65"/>
      <c r="U15" s="65"/>
    </row>
    <row r="16" spans="1:21" x14ac:dyDescent="0.2">
      <c r="A16" s="72"/>
      <c r="B16" s="72" t="s">
        <v>447</v>
      </c>
      <c r="C16" s="72">
        <v>1</v>
      </c>
      <c r="D16" s="72" t="s">
        <v>469</v>
      </c>
      <c r="E16" s="72"/>
      <c r="F16" s="72"/>
      <c r="G16" s="72"/>
      <c r="H16" s="72"/>
      <c r="I16" s="72"/>
      <c r="J16" s="72"/>
      <c r="S16" s="65"/>
      <c r="T16" s="65"/>
      <c r="U16" s="65"/>
    </row>
    <row r="17" spans="1:21" x14ac:dyDescent="0.2">
      <c r="A17" s="72"/>
      <c r="B17" s="69" t="s">
        <v>426</v>
      </c>
      <c r="C17" s="69" t="s">
        <v>498</v>
      </c>
      <c r="D17" s="69" t="s">
        <v>499</v>
      </c>
      <c r="E17" s="72"/>
      <c r="F17" s="72"/>
      <c r="G17" s="72"/>
      <c r="H17" s="72"/>
      <c r="I17" s="72"/>
      <c r="J17" s="72"/>
      <c r="S17" s="65"/>
      <c r="T17" s="65"/>
      <c r="U17" s="65"/>
    </row>
    <row r="18" spans="1:21" x14ac:dyDescent="0.2">
      <c r="A18" s="72"/>
      <c r="B18" s="72" t="s">
        <v>342</v>
      </c>
      <c r="C18" s="72">
        <v>1</v>
      </c>
      <c r="D18" s="72"/>
      <c r="E18" s="72"/>
      <c r="F18" s="72"/>
      <c r="G18" s="72"/>
      <c r="H18" s="72"/>
      <c r="I18" s="72"/>
      <c r="J18" s="72"/>
      <c r="R18" s="65"/>
      <c r="S18" s="65"/>
      <c r="T18" s="65"/>
      <c r="U18" s="65"/>
    </row>
    <row r="19" spans="1:21" x14ac:dyDescent="0.2">
      <c r="A19" s="72"/>
      <c r="B19" s="72" t="s">
        <v>343</v>
      </c>
      <c r="C19" s="72">
        <v>1</v>
      </c>
      <c r="D19" s="72"/>
      <c r="E19" s="72"/>
      <c r="F19" s="72"/>
      <c r="G19" s="72"/>
      <c r="H19" s="72"/>
      <c r="I19" s="72"/>
      <c r="J19" s="72"/>
      <c r="R19" s="65"/>
      <c r="S19" s="65"/>
      <c r="T19" s="65"/>
      <c r="U19" s="65"/>
    </row>
    <row r="20" spans="1:21" x14ac:dyDescent="0.2">
      <c r="A20" s="72"/>
      <c r="B20" s="72" t="s">
        <v>348</v>
      </c>
      <c r="C20" s="72">
        <v>3</v>
      </c>
      <c r="D20" s="72" t="s">
        <v>368</v>
      </c>
      <c r="E20" s="72"/>
      <c r="F20" s="72"/>
      <c r="G20" s="72"/>
      <c r="H20" s="72"/>
      <c r="I20" s="72"/>
      <c r="J20" s="72"/>
      <c r="R20" s="65"/>
      <c r="S20" s="65"/>
      <c r="T20" s="65"/>
      <c r="U20" s="65"/>
    </row>
    <row r="21" spans="1:21" x14ac:dyDescent="0.2">
      <c r="A21" s="72"/>
      <c r="B21" s="72" t="s">
        <v>349</v>
      </c>
      <c r="C21" s="72">
        <v>3</v>
      </c>
      <c r="D21" s="72" t="s">
        <v>368</v>
      </c>
      <c r="E21" s="72"/>
      <c r="F21" s="72"/>
      <c r="G21" s="72"/>
      <c r="H21" s="72"/>
      <c r="I21" s="72"/>
      <c r="J21" s="72"/>
      <c r="R21" s="65"/>
      <c r="S21" s="65"/>
      <c r="T21" s="65"/>
      <c r="U21" s="65"/>
    </row>
    <row r="22" spans="1:21" x14ac:dyDescent="0.2">
      <c r="A22" s="72"/>
      <c r="B22" s="72" t="s">
        <v>344</v>
      </c>
      <c r="C22" s="72">
        <v>16</v>
      </c>
      <c r="D22" s="72" t="s">
        <v>368</v>
      </c>
      <c r="E22" s="72"/>
      <c r="F22" s="72"/>
      <c r="G22" s="72"/>
      <c r="H22" s="72"/>
      <c r="I22" s="72"/>
      <c r="J22" s="72"/>
      <c r="R22" s="65"/>
      <c r="S22" s="65"/>
      <c r="T22" s="65"/>
      <c r="U22" s="65"/>
    </row>
    <row r="23" spans="1:21" x14ac:dyDescent="0.2">
      <c r="A23" s="72"/>
      <c r="B23" s="72" t="s">
        <v>345</v>
      </c>
      <c r="C23" s="72">
        <v>16</v>
      </c>
      <c r="D23" s="72" t="s">
        <v>368</v>
      </c>
      <c r="E23" s="72"/>
      <c r="F23" s="72"/>
      <c r="G23" s="72"/>
      <c r="H23" s="72"/>
      <c r="I23" s="72"/>
      <c r="J23" s="72"/>
      <c r="R23" s="65"/>
      <c r="S23" s="65"/>
      <c r="T23" s="65"/>
      <c r="U23" s="65"/>
    </row>
    <row r="24" spans="1:21" x14ac:dyDescent="0.2">
      <c r="A24" s="72"/>
      <c r="B24" s="72" t="s">
        <v>346</v>
      </c>
      <c r="C24" s="72">
        <v>16</v>
      </c>
      <c r="D24" s="72" t="s">
        <v>368</v>
      </c>
      <c r="E24" s="72"/>
      <c r="F24" s="72"/>
      <c r="G24" s="72"/>
      <c r="H24" s="72"/>
      <c r="I24" s="72"/>
      <c r="J24" s="72"/>
      <c r="R24" s="65"/>
      <c r="S24" s="65"/>
      <c r="T24" s="65"/>
      <c r="U24" s="65"/>
    </row>
    <row r="25" spans="1:21" x14ac:dyDescent="0.2">
      <c r="A25" s="72"/>
      <c r="B25" s="72" t="s">
        <v>347</v>
      </c>
      <c r="C25" s="72">
        <v>16</v>
      </c>
      <c r="D25" s="72" t="s">
        <v>368</v>
      </c>
      <c r="E25" s="72"/>
      <c r="F25" s="72"/>
      <c r="G25" s="72"/>
      <c r="H25" s="72"/>
      <c r="I25" s="72"/>
      <c r="J25" s="72"/>
      <c r="R25" s="65"/>
      <c r="S25" s="65"/>
      <c r="T25" s="65"/>
      <c r="U25" s="65"/>
    </row>
    <row r="26" spans="1:21" x14ac:dyDescent="0.2">
      <c r="A26" s="72"/>
      <c r="B26" s="72"/>
      <c r="C26" s="72"/>
      <c r="D26" s="72"/>
      <c r="E26" s="72"/>
      <c r="F26" s="72"/>
      <c r="G26" s="72"/>
      <c r="H26" s="72"/>
      <c r="I26" s="72"/>
      <c r="J26" s="72"/>
      <c r="R26" s="65"/>
      <c r="S26" s="65"/>
      <c r="T26" s="65"/>
      <c r="U26" s="65"/>
    </row>
    <row r="27" spans="1:21" x14ac:dyDescent="0.2">
      <c r="A27" s="72"/>
      <c r="B27" s="72"/>
      <c r="C27" s="72"/>
      <c r="D27" s="72"/>
      <c r="E27" s="72"/>
      <c r="F27" s="72"/>
      <c r="G27" s="72"/>
      <c r="H27" s="72"/>
      <c r="I27" s="72"/>
      <c r="J27" s="72"/>
      <c r="R27" s="65"/>
      <c r="S27" s="65"/>
      <c r="T27" s="65"/>
      <c r="U27" s="65"/>
    </row>
    <row r="28" spans="1:21" x14ac:dyDescent="0.2">
      <c r="A28" s="72" t="s">
        <v>375</v>
      </c>
      <c r="B28" s="72" t="s">
        <v>472</v>
      </c>
      <c r="C28" s="72">
        <v>4</v>
      </c>
      <c r="D28" s="72" t="s">
        <v>287</v>
      </c>
      <c r="E28" s="72"/>
      <c r="F28" s="72"/>
      <c r="G28" s="72"/>
      <c r="H28" s="72"/>
      <c r="I28" s="72"/>
      <c r="J28" s="72"/>
      <c r="R28" s="65"/>
      <c r="S28" s="65"/>
      <c r="T28" s="65"/>
      <c r="U28" s="65"/>
    </row>
    <row r="29" spans="1:21" x14ac:dyDescent="0.2">
      <c r="A29" s="72"/>
      <c r="B29" s="72" t="s">
        <v>473</v>
      </c>
      <c r="C29" s="72">
        <v>4</v>
      </c>
      <c r="D29" s="72" t="s">
        <v>287</v>
      </c>
      <c r="E29" s="72"/>
      <c r="F29" s="72"/>
      <c r="G29" s="72"/>
      <c r="H29" s="72"/>
      <c r="I29" s="72"/>
      <c r="J29" s="72"/>
      <c r="R29" s="65"/>
      <c r="S29" s="65"/>
      <c r="T29" s="65"/>
      <c r="U29" s="65"/>
    </row>
    <row r="30" spans="1:21" x14ac:dyDescent="0.2">
      <c r="A30" s="72"/>
      <c r="B30" s="69" t="s">
        <v>486</v>
      </c>
      <c r="C30" s="72">
        <v>2</v>
      </c>
      <c r="D30" s="69" t="s">
        <v>465</v>
      </c>
      <c r="E30" s="72"/>
      <c r="F30" s="72"/>
      <c r="G30" s="72"/>
      <c r="H30" s="72"/>
      <c r="I30" s="72"/>
      <c r="J30" s="72"/>
      <c r="R30" s="65"/>
      <c r="S30" s="65"/>
      <c r="T30" s="65"/>
      <c r="U30" s="65"/>
    </row>
    <row r="31" spans="1:21" x14ac:dyDescent="0.2">
      <c r="A31" s="72"/>
      <c r="B31" s="72" t="s">
        <v>474</v>
      </c>
      <c r="C31" s="72">
        <v>2</v>
      </c>
      <c r="D31" s="72" t="s">
        <v>475</v>
      </c>
      <c r="E31" s="72"/>
      <c r="F31" s="72"/>
      <c r="G31" s="72"/>
      <c r="H31" s="72"/>
      <c r="I31" s="72"/>
      <c r="J31" s="72"/>
      <c r="R31" s="65"/>
      <c r="S31" s="65"/>
      <c r="T31" s="65"/>
      <c r="U31" s="65"/>
    </row>
    <row r="32" spans="1:21" x14ac:dyDescent="0.2">
      <c r="A32" s="72"/>
      <c r="B32" s="72" t="s">
        <v>376</v>
      </c>
      <c r="C32" s="72">
        <v>3</v>
      </c>
      <c r="D32" s="69" t="s">
        <v>425</v>
      </c>
      <c r="E32" s="72"/>
      <c r="F32" s="72"/>
      <c r="G32" s="72"/>
      <c r="H32" s="72"/>
      <c r="I32" s="72"/>
      <c r="J32" s="72"/>
      <c r="R32" s="65"/>
      <c r="S32" s="65"/>
      <c r="T32" s="65"/>
      <c r="U32" s="65"/>
    </row>
    <row r="33" spans="1:27" x14ac:dyDescent="0.2">
      <c r="A33" s="72"/>
      <c r="B33" s="69" t="s">
        <v>492</v>
      </c>
      <c r="C33" s="69" t="s">
        <v>493</v>
      </c>
      <c r="D33" s="69"/>
      <c r="E33" s="72"/>
      <c r="F33" s="72"/>
      <c r="G33" s="72"/>
      <c r="H33" s="72"/>
      <c r="I33" s="72"/>
      <c r="J33" s="72"/>
      <c r="R33" s="65"/>
      <c r="S33" s="65"/>
      <c r="T33" s="65"/>
      <c r="U33" s="65"/>
    </row>
    <row r="34" spans="1:27" x14ac:dyDescent="0.2">
      <c r="A34" s="72"/>
      <c r="B34" s="69" t="s">
        <v>489</v>
      </c>
      <c r="C34" s="72">
        <v>1</v>
      </c>
      <c r="D34" s="69" t="s">
        <v>490</v>
      </c>
      <c r="E34" s="72"/>
      <c r="F34" s="72"/>
      <c r="G34" s="72"/>
      <c r="H34" s="72"/>
      <c r="I34" s="72"/>
      <c r="J34" s="72"/>
      <c r="R34" s="65"/>
      <c r="S34" s="65"/>
      <c r="T34" s="65"/>
      <c r="U34" s="65"/>
    </row>
    <row r="35" spans="1:27" x14ac:dyDescent="0.2">
      <c r="A35" s="72"/>
      <c r="B35" s="69" t="s">
        <v>487</v>
      </c>
      <c r="C35" s="72">
        <v>1</v>
      </c>
      <c r="D35" s="69"/>
      <c r="E35" s="72"/>
      <c r="F35" s="72"/>
      <c r="G35" s="72"/>
      <c r="H35" s="72"/>
      <c r="I35" s="72"/>
      <c r="J35" s="72"/>
      <c r="R35" s="65"/>
      <c r="S35" s="65"/>
      <c r="T35" s="65"/>
      <c r="U35" s="65"/>
    </row>
    <row r="36" spans="1:27" x14ac:dyDescent="0.2">
      <c r="A36" s="72"/>
      <c r="B36" s="72" t="s">
        <v>342</v>
      </c>
      <c r="C36" s="72">
        <v>1</v>
      </c>
      <c r="D36" s="72"/>
      <c r="E36" s="72"/>
      <c r="F36" s="72"/>
      <c r="G36" s="72"/>
      <c r="H36" s="72"/>
      <c r="I36" s="72"/>
      <c r="J36" s="72"/>
      <c r="R36" s="65"/>
      <c r="S36" s="65"/>
      <c r="T36" s="65"/>
      <c r="U36" s="65"/>
    </row>
    <row r="37" spans="1:27" x14ac:dyDescent="0.2">
      <c r="A37" s="72"/>
      <c r="B37" s="72" t="s">
        <v>343</v>
      </c>
      <c r="C37" s="72">
        <v>1</v>
      </c>
      <c r="D37" s="72"/>
      <c r="E37" s="72"/>
      <c r="F37" s="72"/>
      <c r="G37" s="72"/>
      <c r="H37" s="72"/>
      <c r="I37" s="72"/>
      <c r="J37" s="72"/>
      <c r="R37" s="65"/>
      <c r="S37" s="65"/>
      <c r="T37" s="65"/>
      <c r="U37" s="65"/>
    </row>
    <row r="38" spans="1:27" x14ac:dyDescent="0.2">
      <c r="A38" s="72"/>
      <c r="B38" s="72" t="s">
        <v>348</v>
      </c>
      <c r="C38" s="72">
        <v>3</v>
      </c>
      <c r="D38" s="72"/>
      <c r="E38" s="72"/>
      <c r="F38" s="72"/>
      <c r="G38" s="73"/>
      <c r="H38" s="73"/>
      <c r="I38" s="73"/>
      <c r="J38" s="73"/>
      <c r="R38" s="65"/>
      <c r="S38" s="65"/>
      <c r="T38" s="65"/>
      <c r="U38" s="65"/>
    </row>
    <row r="39" spans="1:27" x14ac:dyDescent="0.2">
      <c r="A39" s="72"/>
      <c r="B39" s="72" t="s">
        <v>349</v>
      </c>
      <c r="C39" s="72">
        <v>3</v>
      </c>
      <c r="D39" s="72"/>
      <c r="E39" s="72"/>
      <c r="F39" s="72"/>
      <c r="G39" s="73"/>
      <c r="H39" s="73"/>
      <c r="I39" s="73"/>
      <c r="J39" s="73"/>
      <c r="R39" s="65"/>
      <c r="S39" s="65"/>
      <c r="T39" s="65"/>
      <c r="U39" s="65"/>
    </row>
    <row r="40" spans="1:27" x14ac:dyDescent="0.2">
      <c r="A40" s="72"/>
      <c r="B40" s="72" t="s">
        <v>377</v>
      </c>
      <c r="C40" s="72">
        <v>16</v>
      </c>
      <c r="D40" s="72"/>
      <c r="E40" s="72"/>
      <c r="F40" s="73"/>
      <c r="G40" s="73"/>
      <c r="H40" s="73"/>
      <c r="I40" s="73"/>
      <c r="J40" s="73"/>
      <c r="R40" s="65"/>
      <c r="S40" s="65"/>
      <c r="T40" s="65"/>
      <c r="U40" s="65"/>
      <c r="W40" s="65"/>
      <c r="X40" s="65"/>
      <c r="Y40" s="65"/>
      <c r="Z40" s="65"/>
      <c r="AA40" s="65"/>
    </row>
    <row r="41" spans="1:27" x14ac:dyDescent="0.2">
      <c r="A41" s="72"/>
      <c r="B41" s="72" t="s">
        <v>378</v>
      </c>
      <c r="C41" s="72">
        <v>16</v>
      </c>
      <c r="D41" s="72"/>
      <c r="E41" s="72"/>
      <c r="F41" s="73"/>
      <c r="G41" s="73"/>
      <c r="H41" s="73"/>
      <c r="I41" s="73"/>
      <c r="J41" s="73"/>
      <c r="R41" s="65"/>
      <c r="S41" s="65"/>
      <c r="T41" s="65"/>
      <c r="U41" s="65"/>
    </row>
    <row r="42" spans="1:27" x14ac:dyDescent="0.2">
      <c r="A42" s="72"/>
      <c r="B42" s="72" t="s">
        <v>379</v>
      </c>
      <c r="C42" s="72">
        <v>16</v>
      </c>
      <c r="D42" s="72"/>
      <c r="E42" s="72"/>
      <c r="F42" s="73"/>
      <c r="G42" s="73"/>
      <c r="H42" s="73"/>
      <c r="I42" s="73"/>
      <c r="J42" s="73"/>
      <c r="R42" s="65"/>
      <c r="S42" s="65"/>
      <c r="T42" s="65"/>
      <c r="U42" s="65"/>
    </row>
    <row r="43" spans="1:27" x14ac:dyDescent="0.2">
      <c r="A43" s="72"/>
      <c r="B43" s="72" t="s">
        <v>380</v>
      </c>
      <c r="C43" s="72">
        <v>16</v>
      </c>
      <c r="D43" s="72"/>
      <c r="E43" s="72"/>
      <c r="F43" s="73"/>
      <c r="G43" s="73"/>
      <c r="H43" s="73"/>
      <c r="I43" s="73"/>
      <c r="J43" s="73"/>
      <c r="R43" s="65"/>
      <c r="S43" s="65"/>
      <c r="T43" s="65"/>
      <c r="U43" s="65"/>
    </row>
    <row r="44" spans="1:27" x14ac:dyDescent="0.2">
      <c r="A44" s="72"/>
      <c r="B44" s="72" t="s">
        <v>426</v>
      </c>
      <c r="C44" s="72">
        <v>3</v>
      </c>
      <c r="D44" s="72"/>
      <c r="E44" s="72"/>
      <c r="F44" s="73"/>
      <c r="G44" s="73"/>
      <c r="H44" s="73"/>
      <c r="I44" s="73"/>
      <c r="J44" s="73"/>
      <c r="R44" s="65"/>
      <c r="S44" s="65"/>
      <c r="T44" s="65"/>
      <c r="U44" s="65"/>
    </row>
    <row r="45" spans="1:27" x14ac:dyDescent="0.2">
      <c r="A45" s="72"/>
      <c r="B45" s="72"/>
      <c r="C45" s="72"/>
      <c r="D45" s="72"/>
      <c r="E45" s="72"/>
      <c r="F45" s="73"/>
      <c r="G45" s="73"/>
      <c r="H45" s="73"/>
      <c r="I45" s="73"/>
      <c r="J45" s="73"/>
      <c r="R45" s="65"/>
      <c r="S45" s="65"/>
      <c r="T45" s="65"/>
      <c r="U45" s="65"/>
    </row>
    <row r="46" spans="1:27" x14ac:dyDescent="0.2">
      <c r="A46" s="72" t="s">
        <v>424</v>
      </c>
      <c r="B46" s="69" t="s">
        <v>472</v>
      </c>
      <c r="C46" s="72">
        <v>4</v>
      </c>
      <c r="D46" s="72"/>
      <c r="E46" s="73"/>
      <c r="F46" s="73"/>
      <c r="G46" s="73"/>
      <c r="H46" s="73"/>
      <c r="I46" s="73"/>
      <c r="L46"/>
      <c r="Q46" s="65"/>
      <c r="R46" s="65"/>
      <c r="S46" s="65"/>
      <c r="T46" s="65"/>
    </row>
    <row r="47" spans="1:27" x14ac:dyDescent="0.2">
      <c r="A47" s="72"/>
      <c r="B47" s="69" t="s">
        <v>473</v>
      </c>
      <c r="C47" s="72">
        <v>4</v>
      </c>
      <c r="D47" s="72"/>
      <c r="E47" s="73"/>
      <c r="F47" s="73"/>
      <c r="G47" s="73"/>
      <c r="H47" s="73"/>
      <c r="I47" s="73"/>
      <c r="L47"/>
      <c r="Q47" s="65"/>
      <c r="R47" s="65"/>
      <c r="S47" s="65"/>
      <c r="T47" s="65"/>
    </row>
    <row r="48" spans="1:27" x14ac:dyDescent="0.2">
      <c r="A48" s="72"/>
      <c r="B48" s="69" t="s">
        <v>474</v>
      </c>
      <c r="C48" s="72">
        <v>2</v>
      </c>
      <c r="D48" s="72"/>
      <c r="E48" s="73"/>
      <c r="F48" s="73"/>
      <c r="G48" s="73"/>
      <c r="H48" s="73"/>
      <c r="I48" s="73"/>
      <c r="L48"/>
      <c r="Q48" s="65"/>
      <c r="R48" s="65"/>
      <c r="S48" s="65"/>
      <c r="T48" s="65"/>
    </row>
    <row r="49" spans="1:20" x14ac:dyDescent="0.2">
      <c r="A49" s="72"/>
      <c r="B49" s="69" t="s">
        <v>488</v>
      </c>
      <c r="C49" s="72">
        <v>2</v>
      </c>
      <c r="D49" s="72"/>
      <c r="E49" s="73"/>
      <c r="F49" s="73"/>
      <c r="G49" s="73"/>
      <c r="H49" s="73"/>
      <c r="I49" s="73"/>
      <c r="L49"/>
      <c r="Q49" s="65"/>
      <c r="R49" s="65"/>
      <c r="S49" s="65"/>
      <c r="T49" s="65"/>
    </row>
    <row r="50" spans="1:20" ht="14.25" customHeight="1" x14ac:dyDescent="0.2">
      <c r="A50" s="72"/>
      <c r="B50" s="72" t="s">
        <v>484</v>
      </c>
      <c r="C50" s="72" t="s">
        <v>485</v>
      </c>
      <c r="D50" s="72"/>
      <c r="E50" s="73"/>
      <c r="F50" s="73"/>
      <c r="G50" s="73"/>
      <c r="H50" s="73"/>
      <c r="I50" s="73"/>
      <c r="L50"/>
      <c r="Q50" s="65"/>
      <c r="R50" s="65"/>
      <c r="S50" s="65"/>
      <c r="T50" s="65"/>
    </row>
    <row r="51" spans="1:20" ht="14.25" customHeight="1" thickBot="1" x14ac:dyDescent="0.25">
      <c r="A51" s="72"/>
      <c r="B51" s="72"/>
      <c r="C51" s="72"/>
      <c r="D51" s="72"/>
      <c r="E51" s="73"/>
      <c r="F51" s="73"/>
      <c r="G51" s="73"/>
      <c r="H51" s="73"/>
      <c r="I51" s="73"/>
      <c r="L51"/>
      <c r="Q51" s="65"/>
      <c r="R51" s="65"/>
      <c r="S51" s="65"/>
      <c r="T51" s="65"/>
    </row>
    <row r="52" spans="1:20" ht="14.25" customHeight="1" thickBot="1" x14ac:dyDescent="0.25">
      <c r="A52" s="72" t="s">
        <v>429</v>
      </c>
      <c r="B52" s="72" t="s">
        <v>476</v>
      </c>
      <c r="C52" s="72">
        <v>6</v>
      </c>
      <c r="D52" s="88" t="s">
        <v>542</v>
      </c>
      <c r="E52" s="73"/>
      <c r="F52" s="73"/>
      <c r="G52" s="73"/>
      <c r="H52" s="73"/>
      <c r="I52" s="73"/>
      <c r="L52"/>
      <c r="Q52" s="77"/>
      <c r="R52" s="65"/>
      <c r="S52" s="65"/>
      <c r="T52" s="65"/>
    </row>
    <row r="53" spans="1:20" ht="14.25" customHeight="1" thickBot="1" x14ac:dyDescent="0.25">
      <c r="A53" s="72"/>
      <c r="B53" s="72" t="s">
        <v>477</v>
      </c>
      <c r="C53" s="72">
        <v>2</v>
      </c>
      <c r="D53" s="92" t="s">
        <v>541</v>
      </c>
      <c r="E53" s="73"/>
      <c r="F53" s="73"/>
      <c r="G53" s="73"/>
      <c r="H53" s="73"/>
      <c r="I53" s="73"/>
      <c r="L53"/>
      <c r="Q53" s="79"/>
      <c r="R53" s="65"/>
      <c r="S53" s="65"/>
      <c r="T53" s="65"/>
    </row>
    <row r="54" spans="1:20" ht="14.25" customHeight="1" thickBot="1" x14ac:dyDescent="0.25">
      <c r="A54" s="72"/>
      <c r="B54" s="72" t="s">
        <v>478</v>
      </c>
      <c r="C54" s="72">
        <v>4</v>
      </c>
      <c r="D54" s="88" t="s">
        <v>539</v>
      </c>
      <c r="E54" s="73"/>
      <c r="F54" s="73"/>
      <c r="G54" s="73"/>
      <c r="H54" s="73"/>
      <c r="I54" s="73"/>
      <c r="L54"/>
      <c r="Q54" s="76"/>
      <c r="R54" s="65"/>
      <c r="S54" s="65"/>
      <c r="T54" s="65"/>
    </row>
    <row r="55" spans="1:20" ht="14.25" customHeight="1" thickBot="1" x14ac:dyDescent="0.25">
      <c r="A55" s="72"/>
      <c r="B55" s="72" t="s">
        <v>479</v>
      </c>
      <c r="C55" s="72">
        <v>4</v>
      </c>
      <c r="D55" s="88" t="s">
        <v>540</v>
      </c>
      <c r="E55" s="73"/>
      <c r="F55" s="73"/>
      <c r="G55" s="73"/>
      <c r="H55" s="73"/>
      <c r="I55" s="73"/>
      <c r="L55"/>
      <c r="Q55" s="80"/>
      <c r="R55" s="65"/>
      <c r="S55" s="65"/>
      <c r="T55" s="65"/>
    </row>
    <row r="56" spans="1:20" ht="14.25" customHeight="1" thickBot="1" x14ac:dyDescent="0.25">
      <c r="A56" s="72"/>
      <c r="B56" s="69" t="s">
        <v>494</v>
      </c>
      <c r="C56" s="72">
        <v>2</v>
      </c>
      <c r="D56" s="69" t="s">
        <v>538</v>
      </c>
      <c r="E56" s="73"/>
      <c r="F56" s="73"/>
      <c r="G56" s="73"/>
      <c r="H56" s="73"/>
      <c r="I56" s="73"/>
      <c r="L56"/>
      <c r="Q56" s="79"/>
      <c r="S56" s="65"/>
      <c r="T56" s="65"/>
    </row>
    <row r="57" spans="1:20" ht="14.25" customHeight="1" thickBot="1" x14ac:dyDescent="0.25">
      <c r="A57" s="72"/>
      <c r="B57" s="72" t="s">
        <v>480</v>
      </c>
      <c r="C57" s="72">
        <v>2</v>
      </c>
      <c r="D57" s="92" t="s">
        <v>537</v>
      </c>
      <c r="E57" s="73"/>
      <c r="F57" s="73"/>
      <c r="G57" s="73"/>
      <c r="H57" s="73"/>
      <c r="I57" s="73"/>
      <c r="L57"/>
      <c r="Q57" s="79"/>
      <c r="S57" s="65"/>
      <c r="T57" s="65"/>
    </row>
    <row r="58" spans="1:20" ht="14.25" customHeight="1" thickBot="1" x14ac:dyDescent="0.25">
      <c r="A58" s="72"/>
      <c r="B58" s="72" t="s">
        <v>481</v>
      </c>
      <c r="C58" s="72">
        <v>1</v>
      </c>
      <c r="D58" s="88" t="s">
        <v>536</v>
      </c>
      <c r="E58" s="73"/>
      <c r="F58" s="73"/>
      <c r="G58" s="73"/>
      <c r="H58" s="73"/>
      <c r="I58" s="73"/>
      <c r="L58"/>
      <c r="Q58" s="76"/>
    </row>
    <row r="59" spans="1:20" ht="14.25" customHeight="1" thickBot="1" x14ac:dyDescent="0.25">
      <c r="A59" s="72"/>
      <c r="B59" s="72" t="s">
        <v>482</v>
      </c>
      <c r="C59" s="72">
        <v>2</v>
      </c>
      <c r="D59" s="92" t="s">
        <v>535</v>
      </c>
      <c r="E59" s="73"/>
      <c r="F59" s="73"/>
      <c r="G59" s="73"/>
      <c r="H59" s="73"/>
      <c r="I59" s="73"/>
      <c r="L59"/>
      <c r="Q59" s="79"/>
    </row>
    <row r="60" spans="1:20" ht="60" customHeight="1" thickBot="1" x14ac:dyDescent="0.25">
      <c r="A60" s="72"/>
      <c r="B60" s="72" t="s">
        <v>483</v>
      </c>
      <c r="C60" s="72">
        <v>1</v>
      </c>
      <c r="D60" s="92" t="s">
        <v>534</v>
      </c>
      <c r="E60" s="73"/>
      <c r="F60" s="73"/>
      <c r="G60" s="73"/>
      <c r="H60" s="73"/>
      <c r="I60" s="73"/>
      <c r="L60"/>
      <c r="Q60" s="79"/>
    </row>
    <row r="61" spans="1:20" ht="14.25" customHeight="1" thickBot="1" x14ac:dyDescent="0.25">
      <c r="A61" s="72"/>
      <c r="B61" s="69" t="s">
        <v>527</v>
      </c>
      <c r="C61" s="72">
        <v>1</v>
      </c>
      <c r="D61" s="88" t="s">
        <v>533</v>
      </c>
      <c r="E61" s="73"/>
      <c r="F61" s="73"/>
      <c r="G61" s="73"/>
      <c r="H61" s="73"/>
      <c r="I61" s="73"/>
      <c r="L61"/>
      <c r="Q61" s="79"/>
    </row>
    <row r="62" spans="1:20" ht="63.75" x14ac:dyDescent="0.2">
      <c r="A62" s="72"/>
      <c r="B62" s="72" t="s">
        <v>484</v>
      </c>
      <c r="C62" s="72" t="s">
        <v>485</v>
      </c>
      <c r="D62" s="92" t="s">
        <v>532</v>
      </c>
      <c r="E62" s="73"/>
      <c r="F62" s="73"/>
      <c r="G62" s="73"/>
      <c r="H62" s="73"/>
      <c r="I62" s="73"/>
      <c r="L62"/>
      <c r="Q62" s="79"/>
    </row>
    <row r="63" spans="1:20" ht="15" thickBot="1" x14ac:dyDescent="0.25">
      <c r="A63" s="72"/>
      <c r="B63" s="72"/>
      <c r="C63" s="72"/>
      <c r="D63" s="72"/>
      <c r="E63" s="72"/>
      <c r="F63" s="73"/>
      <c r="G63" s="73"/>
      <c r="H63" s="73"/>
      <c r="I63" s="73"/>
      <c r="J63" s="73"/>
    </row>
    <row r="64" spans="1:20" ht="26.25" thickBot="1" x14ac:dyDescent="0.25">
      <c r="A64" s="72" t="s">
        <v>430</v>
      </c>
      <c r="B64" s="72" t="s">
        <v>433</v>
      </c>
      <c r="C64" s="72" t="s">
        <v>434</v>
      </c>
      <c r="D64" s="92" t="s">
        <v>543</v>
      </c>
      <c r="E64" s="72"/>
      <c r="F64" s="73"/>
      <c r="G64" s="73"/>
      <c r="H64" s="73"/>
      <c r="I64" s="73"/>
      <c r="L64"/>
      <c r="Q64" s="78"/>
    </row>
    <row r="65" spans="1:20" ht="26.25" thickBot="1" x14ac:dyDescent="0.25">
      <c r="A65" s="72"/>
      <c r="B65" s="72" t="s">
        <v>435</v>
      </c>
      <c r="C65" s="72" t="s">
        <v>436</v>
      </c>
      <c r="D65" s="92" t="s">
        <v>544</v>
      </c>
      <c r="E65" s="72"/>
      <c r="F65" s="73"/>
      <c r="G65" s="73"/>
      <c r="H65" s="73"/>
      <c r="I65" s="73"/>
      <c r="L65"/>
      <c r="Q65" s="78"/>
    </row>
    <row r="66" spans="1:20" ht="26.25" thickBot="1" x14ac:dyDescent="0.25">
      <c r="A66" s="71"/>
      <c r="B66" s="72" t="s">
        <v>437</v>
      </c>
      <c r="C66" s="72" t="s">
        <v>439</v>
      </c>
      <c r="D66" s="92" t="s">
        <v>545</v>
      </c>
      <c r="E66" s="73"/>
      <c r="F66" s="73"/>
      <c r="G66" s="73"/>
      <c r="H66" s="73"/>
      <c r="I66" s="73"/>
      <c r="L66"/>
      <c r="Q66" s="78"/>
    </row>
    <row r="67" spans="1:20" ht="26.25" thickBot="1" x14ac:dyDescent="0.25">
      <c r="A67" s="71"/>
      <c r="B67" s="72" t="s">
        <v>438</v>
      </c>
      <c r="C67" s="72" t="s">
        <v>439</v>
      </c>
      <c r="D67" s="92" t="s">
        <v>546</v>
      </c>
      <c r="E67" s="73"/>
      <c r="F67" s="73"/>
      <c r="G67" s="73"/>
      <c r="H67" s="73"/>
      <c r="I67" s="73"/>
      <c r="L67"/>
      <c r="Q67" s="78"/>
    </row>
    <row r="68" spans="1:20" ht="14.25" customHeight="1" thickBot="1" x14ac:dyDescent="0.25">
      <c r="A68" s="71"/>
      <c r="B68" s="72" t="s">
        <v>440</v>
      </c>
      <c r="C68" s="72">
        <v>4</v>
      </c>
      <c r="D68" s="92" t="s">
        <v>547</v>
      </c>
      <c r="H68" s="73"/>
      <c r="I68" s="73"/>
      <c r="L68"/>
      <c r="Q68" s="76"/>
    </row>
    <row r="69" spans="1:20" ht="14.25" customHeight="1" thickBot="1" x14ac:dyDescent="0.25">
      <c r="A69" s="71"/>
      <c r="B69" s="72" t="s">
        <v>441</v>
      </c>
      <c r="C69" s="72">
        <v>4</v>
      </c>
      <c r="D69" s="92" t="s">
        <v>547</v>
      </c>
      <c r="H69" s="73"/>
      <c r="I69" s="73"/>
      <c r="L69"/>
      <c r="Q69" s="77"/>
    </row>
    <row r="70" spans="1:20" ht="14.25" customHeight="1" thickBot="1" x14ac:dyDescent="0.25">
      <c r="A70" s="71"/>
      <c r="B70" s="72" t="s">
        <v>442</v>
      </c>
      <c r="C70" s="72">
        <v>2</v>
      </c>
      <c r="D70" s="92" t="s">
        <v>547</v>
      </c>
      <c r="H70" s="73"/>
      <c r="I70" s="73"/>
      <c r="L70"/>
      <c r="Q70" s="79"/>
    </row>
    <row r="71" spans="1:20" ht="14.25" customHeight="1" thickBot="1" x14ac:dyDescent="0.25">
      <c r="A71" s="72"/>
      <c r="B71" s="69" t="s">
        <v>494</v>
      </c>
      <c r="C71" s="72">
        <v>2</v>
      </c>
      <c r="D71" s="92" t="s">
        <v>547</v>
      </c>
      <c r="E71" s="73"/>
      <c r="F71" s="73"/>
      <c r="G71" s="73"/>
      <c r="H71" s="73"/>
      <c r="I71" s="73"/>
      <c r="L71"/>
      <c r="Q71" s="79"/>
      <c r="S71" s="65"/>
      <c r="T71" s="65"/>
    </row>
    <row r="72" spans="1:20" ht="17.25" thickBot="1" x14ac:dyDescent="0.25">
      <c r="A72" s="69"/>
      <c r="B72" s="72" t="s">
        <v>443</v>
      </c>
      <c r="C72" s="72">
        <v>1</v>
      </c>
      <c r="D72" s="92" t="s">
        <v>547</v>
      </c>
      <c r="H72" s="73"/>
      <c r="I72" s="73"/>
      <c r="L72"/>
      <c r="Q72" s="76"/>
    </row>
    <row r="73" spans="1:20" ht="17.25" thickBot="1" x14ac:dyDescent="0.25">
      <c r="A73" s="69"/>
      <c r="B73" s="72" t="s">
        <v>444</v>
      </c>
      <c r="C73" s="72">
        <v>2</v>
      </c>
      <c r="D73" s="92" t="s">
        <v>547</v>
      </c>
      <c r="H73" s="73"/>
      <c r="I73" s="73"/>
      <c r="L73"/>
      <c r="Q73" s="79"/>
    </row>
    <row r="74" spans="1:20" ht="16.5" x14ac:dyDescent="0.2">
      <c r="A74" s="71"/>
      <c r="B74" s="72" t="s">
        <v>445</v>
      </c>
      <c r="C74" s="72">
        <v>1</v>
      </c>
      <c r="D74" s="92" t="s">
        <v>547</v>
      </c>
      <c r="L74"/>
      <c r="Q74" s="79"/>
    </row>
    <row r="75" spans="1:20" ht="15" thickBot="1" x14ac:dyDescent="0.25">
      <c r="B75" s="72"/>
      <c r="C75" s="72"/>
      <c r="D75" s="72"/>
    </row>
    <row r="76" spans="1:20" ht="17.25" thickBot="1" x14ac:dyDescent="0.25">
      <c r="A76" s="1" t="s">
        <v>446</v>
      </c>
      <c r="B76" s="72" t="s">
        <v>431</v>
      </c>
      <c r="C76" s="72">
        <v>4</v>
      </c>
      <c r="R76" s="76"/>
    </row>
    <row r="77" spans="1:20" ht="16.5" x14ac:dyDescent="0.2">
      <c r="B77" s="72" t="s">
        <v>432</v>
      </c>
      <c r="C77" s="72">
        <v>4</v>
      </c>
      <c r="R77" s="80"/>
    </row>
    <row r="78" spans="1:20" x14ac:dyDescent="0.2">
      <c r="B78" s="72" t="s">
        <v>377</v>
      </c>
      <c r="C78" s="72">
        <v>16</v>
      </c>
    </row>
    <row r="79" spans="1:20" x14ac:dyDescent="0.2">
      <c r="B79" s="72" t="s">
        <v>378</v>
      </c>
      <c r="C79" s="72">
        <v>16</v>
      </c>
    </row>
    <row r="80" spans="1:20" x14ac:dyDescent="0.2">
      <c r="B80" s="72" t="s">
        <v>379</v>
      </c>
      <c r="C80" s="72">
        <v>16</v>
      </c>
    </row>
    <row r="81" spans="1:8" x14ac:dyDescent="0.2">
      <c r="B81" s="72" t="s">
        <v>380</v>
      </c>
      <c r="C81" s="72">
        <v>16</v>
      </c>
    </row>
    <row r="82" spans="1:8" x14ac:dyDescent="0.2">
      <c r="H82" s="72"/>
    </row>
    <row r="95" spans="1:8" x14ac:dyDescent="0.2">
      <c r="A95" s="1" t="s">
        <v>552</v>
      </c>
      <c r="B95" s="1" t="s">
        <v>553</v>
      </c>
      <c r="C95" s="1" t="s">
        <v>554</v>
      </c>
    </row>
    <row r="96" spans="1:8" x14ac:dyDescent="0.2">
      <c r="A96" s="1" t="s">
        <v>548</v>
      </c>
      <c r="B96" s="1">
        <v>8</v>
      </c>
      <c r="C96" s="1" t="s">
        <v>555</v>
      </c>
    </row>
    <row r="97" spans="1:3" x14ac:dyDescent="0.2">
      <c r="A97" s="1" t="s">
        <v>549</v>
      </c>
      <c r="B97" s="1">
        <v>16</v>
      </c>
      <c r="C97" s="1" t="s">
        <v>556</v>
      </c>
    </row>
    <row r="98" spans="1:3" x14ac:dyDescent="0.2">
      <c r="A98" s="1" t="s">
        <v>550</v>
      </c>
      <c r="B98" s="1">
        <v>32</v>
      </c>
      <c r="C98" s="2" t="s">
        <v>557</v>
      </c>
    </row>
    <row r="99" spans="1:3" x14ac:dyDescent="0.2">
      <c r="A99" s="2" t="s">
        <v>551</v>
      </c>
      <c r="B99" s="2">
        <v>64</v>
      </c>
      <c r="C99" s="2" t="s">
        <v>558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802F-5361-4627-9329-9A956863D051}">
  <dimension ref="A1:K54"/>
  <sheetViews>
    <sheetView workbookViewId="0">
      <selection activeCell="C57" sqref="C57"/>
    </sheetView>
  </sheetViews>
  <sheetFormatPr defaultRowHeight="14.25" x14ac:dyDescent="0.2"/>
  <cols>
    <col min="2" max="2" width="26" customWidth="1"/>
    <col min="4" max="4" width="16.875" customWidth="1"/>
    <col min="5" max="5" width="27.625" customWidth="1"/>
    <col min="6" max="6" width="11.75" customWidth="1"/>
  </cols>
  <sheetData>
    <row r="1" spans="1:11" x14ac:dyDescent="0.2">
      <c r="A1" s="116" t="s">
        <v>316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2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x14ac:dyDescent="0.2">
      <c r="A3" s="69" t="s">
        <v>318</v>
      </c>
      <c r="B3" s="69" t="s">
        <v>317</v>
      </c>
      <c r="C3" s="70" t="s">
        <v>326</v>
      </c>
      <c r="D3" s="69" t="s">
        <v>319</v>
      </c>
      <c r="E3" s="64" t="s">
        <v>320</v>
      </c>
      <c r="F3" s="64"/>
      <c r="G3" s="72"/>
      <c r="H3" s="72"/>
      <c r="I3" s="72"/>
      <c r="J3" s="72"/>
      <c r="K3" s="72"/>
    </row>
    <row r="4" spans="1:11" x14ac:dyDescent="0.2">
      <c r="A4" s="114" t="s">
        <v>321</v>
      </c>
      <c r="B4" s="69" t="s">
        <v>322</v>
      </c>
      <c r="C4" s="70" t="s">
        <v>327</v>
      </c>
      <c r="D4" s="72">
        <v>1</v>
      </c>
      <c r="E4" s="64"/>
      <c r="F4" s="64"/>
      <c r="G4" s="72"/>
      <c r="H4" s="72"/>
      <c r="I4" s="72"/>
      <c r="J4" s="72"/>
      <c r="K4" s="72"/>
    </row>
    <row r="5" spans="1:11" x14ac:dyDescent="0.2">
      <c r="A5" s="114"/>
      <c r="B5" s="69" t="s">
        <v>323</v>
      </c>
      <c r="C5" s="71" t="s">
        <v>327</v>
      </c>
      <c r="D5" s="72">
        <v>1</v>
      </c>
      <c r="E5" s="64"/>
      <c r="F5" s="64"/>
      <c r="G5" s="72"/>
      <c r="H5" s="72"/>
      <c r="I5" s="72"/>
      <c r="J5" s="72"/>
      <c r="K5" s="72"/>
    </row>
    <row r="6" spans="1:11" x14ac:dyDescent="0.2">
      <c r="A6" s="72"/>
      <c r="B6" s="69"/>
      <c r="C6" s="71"/>
      <c r="D6" s="72"/>
      <c r="E6" s="64"/>
      <c r="F6" s="64"/>
      <c r="G6" s="72"/>
      <c r="H6" s="72"/>
      <c r="I6" s="72"/>
      <c r="J6" s="72"/>
      <c r="K6" s="72"/>
    </row>
    <row r="7" spans="1:11" x14ac:dyDescent="0.2">
      <c r="A7" s="114" t="s">
        <v>340</v>
      </c>
      <c r="B7" s="72" t="s">
        <v>324</v>
      </c>
      <c r="C7" s="71" t="s">
        <v>327</v>
      </c>
      <c r="D7" s="72">
        <v>1</v>
      </c>
      <c r="E7" s="64" t="s">
        <v>335</v>
      </c>
      <c r="F7" s="64"/>
      <c r="G7" s="72"/>
      <c r="H7" s="72"/>
      <c r="I7" s="72"/>
      <c r="J7" s="72"/>
      <c r="K7" s="72"/>
    </row>
    <row r="8" spans="1:11" x14ac:dyDescent="0.2">
      <c r="A8" s="115"/>
      <c r="B8" s="72" t="s">
        <v>325</v>
      </c>
      <c r="C8" s="71" t="s">
        <v>328</v>
      </c>
      <c r="D8" s="72">
        <v>1</v>
      </c>
      <c r="E8" s="64"/>
      <c r="F8" s="64"/>
      <c r="G8" s="69"/>
      <c r="H8" s="72"/>
      <c r="I8" s="72"/>
      <c r="J8" s="72"/>
      <c r="K8" s="72"/>
    </row>
    <row r="9" spans="1:11" x14ac:dyDescent="0.2">
      <c r="A9" s="115"/>
      <c r="B9" s="71" t="s">
        <v>329</v>
      </c>
      <c r="C9" s="74" t="s">
        <v>327</v>
      </c>
      <c r="D9" s="71" t="s">
        <v>410</v>
      </c>
      <c r="E9" s="64"/>
      <c r="F9" s="64"/>
      <c r="G9" s="72"/>
      <c r="H9" s="72"/>
      <c r="I9" s="72"/>
      <c r="J9" s="72"/>
      <c r="K9" s="72"/>
    </row>
    <row r="10" spans="1:11" x14ac:dyDescent="0.2">
      <c r="A10" s="114" t="s">
        <v>341</v>
      </c>
      <c r="B10" s="69" t="s">
        <v>457</v>
      </c>
      <c r="C10" s="69" t="s">
        <v>328</v>
      </c>
      <c r="D10" s="72">
        <v>1</v>
      </c>
      <c r="E10" s="64"/>
      <c r="F10" s="64"/>
      <c r="G10" s="72"/>
      <c r="H10" s="72"/>
      <c r="I10" s="72"/>
      <c r="J10" s="72"/>
      <c r="K10" s="72"/>
    </row>
    <row r="11" spans="1:11" x14ac:dyDescent="0.2">
      <c r="A11" s="114"/>
      <c r="B11" s="69" t="s">
        <v>458</v>
      </c>
      <c r="C11" s="69" t="s">
        <v>328</v>
      </c>
      <c r="D11" s="71" t="s">
        <v>461</v>
      </c>
      <c r="E11" s="64"/>
      <c r="F11" s="64"/>
      <c r="G11" s="72"/>
      <c r="H11" s="72"/>
      <c r="I11" s="72"/>
      <c r="J11" s="72"/>
      <c r="K11" s="72"/>
    </row>
    <row r="12" spans="1:11" x14ac:dyDescent="0.2">
      <c r="A12" s="114"/>
      <c r="B12" s="69" t="s">
        <v>452</v>
      </c>
      <c r="C12" s="69" t="s">
        <v>327</v>
      </c>
      <c r="D12" s="72">
        <v>1</v>
      </c>
      <c r="E12" s="64"/>
      <c r="F12" s="64"/>
      <c r="G12" s="72"/>
      <c r="H12" s="72"/>
      <c r="I12" s="72"/>
      <c r="J12" s="72"/>
      <c r="K12" s="72"/>
    </row>
    <row r="13" spans="1:11" x14ac:dyDescent="0.2">
      <c r="A13" s="114"/>
      <c r="B13" s="70" t="s">
        <v>454</v>
      </c>
      <c r="C13" s="74" t="s">
        <v>411</v>
      </c>
      <c r="D13" s="71" t="s">
        <v>470</v>
      </c>
      <c r="E13" s="64"/>
      <c r="F13" s="64"/>
      <c r="G13" s="71"/>
      <c r="H13" s="71"/>
      <c r="I13" s="71"/>
      <c r="J13" s="72"/>
      <c r="K13" s="72"/>
    </row>
    <row r="14" spans="1:11" x14ac:dyDescent="0.2">
      <c r="A14" s="114"/>
      <c r="B14" s="69" t="s">
        <v>459</v>
      </c>
      <c r="C14" s="69" t="s">
        <v>328</v>
      </c>
      <c r="D14" s="72">
        <v>1</v>
      </c>
      <c r="E14" s="64"/>
      <c r="F14" s="64"/>
      <c r="G14" s="71"/>
      <c r="H14" s="71"/>
      <c r="I14" s="71"/>
      <c r="J14" s="72"/>
      <c r="K14" s="72"/>
    </row>
    <row r="15" spans="1:11" x14ac:dyDescent="0.2">
      <c r="A15" s="114"/>
      <c r="B15" s="69" t="s">
        <v>460</v>
      </c>
      <c r="C15" s="69" t="s">
        <v>328</v>
      </c>
      <c r="D15" s="71" t="s">
        <v>461</v>
      </c>
      <c r="E15" s="64"/>
      <c r="F15" s="64"/>
      <c r="G15" s="71"/>
      <c r="H15" s="71"/>
      <c r="I15" s="71"/>
      <c r="J15" s="72"/>
      <c r="K15" s="72"/>
    </row>
    <row r="16" spans="1:11" x14ac:dyDescent="0.2">
      <c r="A16" s="114"/>
      <c r="B16" s="69" t="s">
        <v>455</v>
      </c>
      <c r="C16" s="69" t="s">
        <v>327</v>
      </c>
      <c r="D16" s="72">
        <v>1</v>
      </c>
      <c r="E16" s="64"/>
      <c r="F16" s="64"/>
      <c r="G16" s="71"/>
      <c r="H16" s="71"/>
      <c r="I16" s="71"/>
      <c r="J16" s="72"/>
      <c r="K16" s="72"/>
    </row>
    <row r="17" spans="1:11" x14ac:dyDescent="0.2">
      <c r="A17" s="114"/>
      <c r="B17" s="69" t="s">
        <v>462</v>
      </c>
      <c r="C17" s="70" t="s">
        <v>411</v>
      </c>
      <c r="D17" s="71" t="s">
        <v>470</v>
      </c>
      <c r="E17" s="64"/>
      <c r="F17" s="64"/>
      <c r="G17" s="71"/>
      <c r="H17" s="71"/>
      <c r="I17" s="71"/>
      <c r="J17" s="117"/>
      <c r="K17" s="117"/>
    </row>
    <row r="18" spans="1:11" x14ac:dyDescent="0.2">
      <c r="A18" s="114"/>
      <c r="B18" s="69" t="s">
        <v>369</v>
      </c>
      <c r="C18" s="69" t="s">
        <v>328</v>
      </c>
      <c r="D18" s="72">
        <v>1</v>
      </c>
      <c r="E18" s="64"/>
      <c r="F18" s="64"/>
      <c r="G18" s="71"/>
      <c r="H18" s="71"/>
      <c r="I18" s="71"/>
      <c r="J18" s="72"/>
      <c r="K18" s="72"/>
    </row>
    <row r="19" spans="1:11" x14ac:dyDescent="0.2">
      <c r="A19" s="114"/>
      <c r="B19" s="69" t="s">
        <v>370</v>
      </c>
      <c r="C19" s="69" t="s">
        <v>328</v>
      </c>
      <c r="D19" s="69" t="s">
        <v>471</v>
      </c>
      <c r="E19" s="64" t="s">
        <v>371</v>
      </c>
      <c r="F19" s="64"/>
      <c r="G19" s="71"/>
      <c r="H19" s="71"/>
      <c r="I19" s="71"/>
      <c r="J19" s="72"/>
      <c r="K19" s="72"/>
    </row>
    <row r="20" spans="1:11" x14ac:dyDescent="0.2">
      <c r="A20" s="114" t="s">
        <v>373</v>
      </c>
      <c r="B20" s="69" t="s">
        <v>374</v>
      </c>
      <c r="C20" s="69" t="s">
        <v>328</v>
      </c>
      <c r="D20" s="72">
        <v>1</v>
      </c>
      <c r="E20" s="64"/>
      <c r="F20" s="64"/>
      <c r="G20" s="72"/>
      <c r="H20" s="72"/>
      <c r="I20" s="72"/>
      <c r="J20" s="72"/>
      <c r="K20" s="72"/>
    </row>
    <row r="21" spans="1:11" x14ac:dyDescent="0.2">
      <c r="A21" s="114"/>
      <c r="B21" s="70" t="s">
        <v>413</v>
      </c>
      <c r="C21" s="70" t="s">
        <v>414</v>
      </c>
      <c r="D21" s="71" t="s">
        <v>453</v>
      </c>
      <c r="E21" s="64"/>
      <c r="F21" s="64"/>
      <c r="G21" s="72"/>
      <c r="H21" s="72"/>
      <c r="I21" s="72"/>
      <c r="J21" s="72"/>
      <c r="K21" s="72"/>
    </row>
    <row r="22" spans="1:11" x14ac:dyDescent="0.2">
      <c r="A22" s="114"/>
      <c r="B22" s="69" t="s">
        <v>416</v>
      </c>
      <c r="C22" s="69" t="s">
        <v>414</v>
      </c>
      <c r="D22" s="72">
        <v>5</v>
      </c>
      <c r="E22" s="64" t="s">
        <v>491</v>
      </c>
      <c r="F22" s="64"/>
      <c r="G22" s="72"/>
      <c r="H22" s="72"/>
      <c r="I22" s="72"/>
      <c r="J22" s="72"/>
      <c r="K22" s="72"/>
    </row>
    <row r="23" spans="1:11" x14ac:dyDescent="0.2">
      <c r="A23" s="114"/>
      <c r="B23" s="69" t="s">
        <v>417</v>
      </c>
      <c r="C23" s="69" t="s">
        <v>411</v>
      </c>
      <c r="D23" s="72">
        <v>5</v>
      </c>
      <c r="E23" s="64"/>
      <c r="F23" s="64"/>
      <c r="G23" s="72"/>
      <c r="H23" s="72"/>
      <c r="I23" s="72"/>
      <c r="J23" s="72"/>
      <c r="K23" s="72"/>
    </row>
    <row r="24" spans="1:11" x14ac:dyDescent="0.2">
      <c r="A24" s="114"/>
      <c r="B24" s="69" t="s">
        <v>418</v>
      </c>
      <c r="C24" s="69" t="s">
        <v>414</v>
      </c>
      <c r="D24" s="69" t="s">
        <v>451</v>
      </c>
      <c r="E24" s="64"/>
      <c r="F24" s="64"/>
      <c r="G24" s="72"/>
      <c r="H24" s="72"/>
      <c r="I24" s="72"/>
      <c r="J24" s="72"/>
      <c r="K24" s="72"/>
    </row>
    <row r="25" spans="1:11" x14ac:dyDescent="0.2">
      <c r="A25" s="114" t="s">
        <v>381</v>
      </c>
      <c r="B25" s="69" t="s">
        <v>419</v>
      </c>
      <c r="C25" s="69" t="s">
        <v>414</v>
      </c>
      <c r="D25" s="72">
        <v>5</v>
      </c>
      <c r="E25" s="64" t="s">
        <v>448</v>
      </c>
      <c r="F25" s="64"/>
      <c r="G25" s="72"/>
      <c r="H25" s="72"/>
      <c r="I25" s="72"/>
      <c r="J25" s="72"/>
      <c r="K25" s="72"/>
    </row>
    <row r="26" spans="1:11" x14ac:dyDescent="0.2">
      <c r="A26" s="114"/>
      <c r="B26" s="69" t="s">
        <v>420</v>
      </c>
      <c r="C26" s="69" t="s">
        <v>411</v>
      </c>
      <c r="D26" s="72">
        <v>5</v>
      </c>
      <c r="E26" s="64"/>
      <c r="F26" s="64"/>
      <c r="G26" s="72"/>
      <c r="H26" s="64"/>
      <c r="I26" s="72"/>
      <c r="J26" s="72"/>
      <c r="K26" s="72"/>
    </row>
    <row r="27" spans="1:11" x14ac:dyDescent="0.2">
      <c r="A27" s="114"/>
      <c r="B27" s="69" t="s">
        <v>421</v>
      </c>
      <c r="C27" s="69" t="s">
        <v>414</v>
      </c>
      <c r="D27" s="69" t="s">
        <v>449</v>
      </c>
      <c r="E27" s="64"/>
      <c r="F27" s="64"/>
      <c r="G27" s="72"/>
      <c r="H27" s="72"/>
      <c r="I27" s="72"/>
      <c r="J27" s="72"/>
      <c r="K27" s="72"/>
    </row>
    <row r="28" spans="1:11" x14ac:dyDescent="0.2">
      <c r="A28" s="114"/>
      <c r="B28" s="69" t="s">
        <v>427</v>
      </c>
      <c r="C28" s="69" t="s">
        <v>411</v>
      </c>
      <c r="D28" s="69">
        <v>5</v>
      </c>
      <c r="E28" s="64" t="s">
        <v>448</v>
      </c>
      <c r="F28" s="64"/>
      <c r="G28" s="72"/>
      <c r="H28" s="72"/>
      <c r="I28" s="72"/>
      <c r="J28" s="72"/>
      <c r="K28" s="72"/>
    </row>
    <row r="29" spans="1:11" x14ac:dyDescent="0.2">
      <c r="A29" s="114"/>
      <c r="B29" s="69" t="s">
        <v>428</v>
      </c>
      <c r="C29" s="69" t="s">
        <v>411</v>
      </c>
      <c r="D29" s="69" t="s">
        <v>450</v>
      </c>
      <c r="E29" s="64"/>
      <c r="F29" s="64"/>
      <c r="G29" s="72"/>
      <c r="H29" s="72"/>
      <c r="I29" s="72"/>
      <c r="J29" s="72"/>
      <c r="K29" s="72"/>
    </row>
    <row r="30" spans="1:11" x14ac:dyDescent="0.2">
      <c r="A30" s="114" t="s">
        <v>372</v>
      </c>
      <c r="B30" s="69" t="s">
        <v>382</v>
      </c>
      <c r="C30" s="69" t="s">
        <v>411</v>
      </c>
      <c r="D30" s="72">
        <v>4</v>
      </c>
      <c r="E30" s="64" t="s">
        <v>412</v>
      </c>
      <c r="F30" s="64"/>
      <c r="G30" s="72"/>
      <c r="H30" s="72"/>
      <c r="I30" s="72"/>
      <c r="J30" s="72"/>
      <c r="K30" s="72"/>
    </row>
    <row r="31" spans="1:11" x14ac:dyDescent="0.2">
      <c r="A31" s="114"/>
      <c r="B31" s="69" t="s">
        <v>422</v>
      </c>
      <c r="C31" s="69" t="s">
        <v>414</v>
      </c>
      <c r="D31" s="72">
        <v>4</v>
      </c>
      <c r="E31" s="64"/>
      <c r="F31" s="64"/>
      <c r="G31" s="72"/>
      <c r="H31" s="72"/>
      <c r="I31" s="72"/>
      <c r="J31" s="72"/>
      <c r="K31" s="72"/>
    </row>
    <row r="32" spans="1:11" x14ac:dyDescent="0.2">
      <c r="A32" s="114"/>
      <c r="B32" s="71" t="s">
        <v>383</v>
      </c>
      <c r="C32" s="70" t="s">
        <v>411</v>
      </c>
      <c r="D32" s="71" t="s">
        <v>423</v>
      </c>
      <c r="E32" s="64"/>
      <c r="F32" s="64"/>
      <c r="G32" s="72"/>
      <c r="H32" s="72"/>
      <c r="I32" s="72"/>
      <c r="J32" s="72"/>
      <c r="K32" s="72"/>
    </row>
    <row r="33" spans="1:11" x14ac:dyDescent="0.2">
      <c r="A33" s="114" t="s">
        <v>384</v>
      </c>
      <c r="B33" s="75" t="s">
        <v>385</v>
      </c>
      <c r="C33" s="75" t="s">
        <v>328</v>
      </c>
      <c r="D33" s="75" t="s">
        <v>528</v>
      </c>
      <c r="E33" s="64"/>
      <c r="F33" s="69"/>
      <c r="G33" s="72"/>
      <c r="H33" s="72"/>
      <c r="I33" s="72"/>
      <c r="J33" s="72"/>
      <c r="K33" s="72"/>
    </row>
    <row r="34" spans="1:11" x14ac:dyDescent="0.2">
      <c r="A34" s="114"/>
      <c r="B34" s="75" t="s">
        <v>386</v>
      </c>
      <c r="C34" s="75" t="s">
        <v>328</v>
      </c>
      <c r="D34" s="75" t="s">
        <v>528</v>
      </c>
      <c r="E34" s="64"/>
      <c r="F34" s="69"/>
      <c r="G34" s="72"/>
      <c r="H34" s="72"/>
      <c r="I34" s="72"/>
      <c r="J34" s="72"/>
      <c r="K34" s="72"/>
    </row>
    <row r="35" spans="1:11" x14ac:dyDescent="0.2">
      <c r="A35" s="114"/>
      <c r="B35" s="75" t="s">
        <v>387</v>
      </c>
      <c r="C35" s="75" t="s">
        <v>328</v>
      </c>
      <c r="D35" s="75" t="s">
        <v>529</v>
      </c>
      <c r="E35" s="64"/>
      <c r="F35" s="69"/>
      <c r="G35" s="73"/>
      <c r="H35" s="73"/>
      <c r="I35" s="73"/>
      <c r="J35" s="73"/>
      <c r="K35" s="73"/>
    </row>
    <row r="36" spans="1:11" x14ac:dyDescent="0.2">
      <c r="A36" s="114"/>
      <c r="B36" s="75" t="s">
        <v>388</v>
      </c>
      <c r="C36" s="75" t="s">
        <v>328</v>
      </c>
      <c r="D36" s="75" t="s">
        <v>530</v>
      </c>
      <c r="E36" s="64"/>
      <c r="F36" s="69"/>
      <c r="G36" s="73"/>
      <c r="H36" s="73"/>
      <c r="I36" s="73"/>
      <c r="J36" s="73"/>
      <c r="K36" s="73"/>
    </row>
    <row r="37" spans="1:11" x14ac:dyDescent="0.2">
      <c r="A37" s="114"/>
      <c r="B37" s="75" t="s">
        <v>389</v>
      </c>
      <c r="C37" s="75" t="s">
        <v>327</v>
      </c>
      <c r="D37" s="75" t="s">
        <v>530</v>
      </c>
      <c r="E37" s="64"/>
      <c r="F37" s="69"/>
      <c r="G37" s="73"/>
      <c r="H37" s="73"/>
      <c r="I37" s="73"/>
      <c r="J37" s="73"/>
      <c r="K37" s="73"/>
    </row>
    <row r="38" spans="1:11" x14ac:dyDescent="0.2">
      <c r="A38" s="114"/>
      <c r="B38" s="75" t="s">
        <v>390</v>
      </c>
      <c r="C38" s="75" t="s">
        <v>328</v>
      </c>
      <c r="D38" s="75" t="s">
        <v>528</v>
      </c>
      <c r="E38" s="64"/>
      <c r="F38" s="69"/>
      <c r="G38" s="73"/>
      <c r="H38" s="73"/>
      <c r="I38" s="73"/>
      <c r="J38" s="73"/>
      <c r="K38" s="73"/>
    </row>
    <row r="39" spans="1:11" x14ac:dyDescent="0.2">
      <c r="A39" s="114"/>
      <c r="B39" s="75" t="s">
        <v>391</v>
      </c>
      <c r="C39" s="75" t="s">
        <v>328</v>
      </c>
      <c r="D39" s="75" t="s">
        <v>528</v>
      </c>
      <c r="E39" s="64"/>
      <c r="F39" s="69"/>
      <c r="G39" s="73"/>
      <c r="H39" s="73"/>
      <c r="I39" s="73"/>
      <c r="J39" s="73"/>
      <c r="K39" s="73"/>
    </row>
    <row r="40" spans="1:11" x14ac:dyDescent="0.2">
      <c r="A40" s="114"/>
      <c r="B40" s="75" t="s">
        <v>392</v>
      </c>
      <c r="C40" s="75" t="s">
        <v>328</v>
      </c>
      <c r="D40" s="75" t="s">
        <v>529</v>
      </c>
      <c r="E40" s="64"/>
      <c r="F40" s="69"/>
      <c r="G40" s="73"/>
      <c r="H40" s="73"/>
      <c r="I40" s="73"/>
      <c r="J40" s="73"/>
      <c r="K40" s="73"/>
    </row>
    <row r="41" spans="1:11" x14ac:dyDescent="0.2">
      <c r="A41" s="114"/>
      <c r="B41" s="75" t="s">
        <v>393</v>
      </c>
      <c r="C41" s="75" t="s">
        <v>328</v>
      </c>
      <c r="D41" s="75" t="s">
        <v>531</v>
      </c>
      <c r="E41" s="64"/>
      <c r="F41" s="69"/>
      <c r="G41" s="73"/>
      <c r="H41" s="73"/>
      <c r="I41" s="73"/>
      <c r="J41" s="73"/>
      <c r="K41" s="73"/>
    </row>
    <row r="42" spans="1:11" x14ac:dyDescent="0.2">
      <c r="A42" s="114"/>
      <c r="B42" s="75" t="s">
        <v>394</v>
      </c>
      <c r="C42" s="75" t="s">
        <v>327</v>
      </c>
      <c r="D42" s="75" t="s">
        <v>531</v>
      </c>
      <c r="E42" s="64"/>
      <c r="F42" s="69"/>
      <c r="G42" s="73"/>
      <c r="H42" s="73"/>
      <c r="I42" s="73"/>
      <c r="J42" s="73"/>
      <c r="K42" s="73"/>
    </row>
    <row r="43" spans="1:11" x14ac:dyDescent="0.2">
      <c r="A43" s="114" t="s">
        <v>353</v>
      </c>
      <c r="B43" s="75" t="s">
        <v>398</v>
      </c>
      <c r="C43" s="75" t="s">
        <v>328</v>
      </c>
      <c r="D43" s="75"/>
      <c r="E43" s="64"/>
      <c r="F43" s="69"/>
      <c r="G43" s="73"/>
      <c r="H43" s="73"/>
      <c r="I43" s="73"/>
      <c r="J43" s="73"/>
      <c r="K43" s="73"/>
    </row>
    <row r="44" spans="1:11" x14ac:dyDescent="0.2">
      <c r="A44" s="114"/>
      <c r="B44" s="75" t="s">
        <v>399</v>
      </c>
      <c r="C44" s="75" t="s">
        <v>328</v>
      </c>
      <c r="D44" s="75"/>
      <c r="E44" s="64"/>
      <c r="F44" s="69"/>
      <c r="G44" s="73"/>
      <c r="H44" s="73"/>
      <c r="I44" s="73"/>
      <c r="J44" s="73"/>
      <c r="K44" s="73"/>
    </row>
    <row r="45" spans="1:11" x14ac:dyDescent="0.2">
      <c r="A45" s="114"/>
      <c r="B45" s="75" t="s">
        <v>400</v>
      </c>
      <c r="C45" s="75" t="s">
        <v>328</v>
      </c>
      <c r="D45" s="75" t="s">
        <v>395</v>
      </c>
      <c r="E45" s="64"/>
      <c r="F45" s="69"/>
      <c r="G45" s="73"/>
      <c r="H45" s="73"/>
      <c r="I45" s="73"/>
      <c r="J45" s="73"/>
      <c r="K45" s="73"/>
    </row>
    <row r="46" spans="1:11" x14ac:dyDescent="0.2">
      <c r="A46" s="114"/>
      <c r="B46" s="75" t="s">
        <v>401</v>
      </c>
      <c r="C46" s="75" t="s">
        <v>328</v>
      </c>
      <c r="D46" s="75" t="s">
        <v>396</v>
      </c>
      <c r="E46" s="64"/>
      <c r="F46" s="69"/>
      <c r="G46" s="73"/>
      <c r="H46" s="73"/>
      <c r="I46" s="73"/>
      <c r="J46" s="73"/>
      <c r="K46" s="73"/>
    </row>
    <row r="47" spans="1:11" x14ac:dyDescent="0.2">
      <c r="A47" s="114"/>
      <c r="B47" s="75" t="s">
        <v>402</v>
      </c>
      <c r="C47" s="75" t="s">
        <v>327</v>
      </c>
      <c r="D47" s="75" t="s">
        <v>396</v>
      </c>
      <c r="E47" s="64"/>
      <c r="F47" s="73"/>
      <c r="G47" s="73"/>
      <c r="H47" s="73"/>
      <c r="I47" s="73"/>
      <c r="J47" s="73"/>
      <c r="K47" s="73"/>
    </row>
    <row r="48" spans="1:11" x14ac:dyDescent="0.2">
      <c r="A48" s="114"/>
      <c r="B48" s="75" t="s">
        <v>403</v>
      </c>
      <c r="C48" s="75" t="s">
        <v>328</v>
      </c>
      <c r="D48" s="75"/>
      <c r="E48" s="64"/>
      <c r="F48" s="73"/>
      <c r="G48" s="73"/>
      <c r="H48" s="73"/>
      <c r="I48" s="73"/>
      <c r="J48" s="73"/>
      <c r="K48" s="73"/>
    </row>
    <row r="49" spans="1:11" x14ac:dyDescent="0.2">
      <c r="A49" s="114"/>
      <c r="B49" s="75" t="s">
        <v>404</v>
      </c>
      <c r="C49" s="75" t="s">
        <v>328</v>
      </c>
      <c r="D49" s="75"/>
      <c r="E49" s="64"/>
      <c r="F49" s="73"/>
      <c r="G49" s="73"/>
      <c r="H49" s="73"/>
      <c r="I49" s="73"/>
      <c r="J49" s="73"/>
      <c r="K49" s="73"/>
    </row>
    <row r="50" spans="1:11" x14ac:dyDescent="0.2">
      <c r="A50" s="114"/>
      <c r="B50" s="75" t="s">
        <v>405</v>
      </c>
      <c r="C50" s="75" t="s">
        <v>328</v>
      </c>
      <c r="D50" s="75" t="s">
        <v>395</v>
      </c>
      <c r="E50" s="64"/>
      <c r="F50" s="73"/>
      <c r="G50" s="73"/>
      <c r="H50" s="73"/>
      <c r="I50" s="73"/>
      <c r="J50" s="73"/>
      <c r="K50" s="73"/>
    </row>
    <row r="51" spans="1:11" x14ac:dyDescent="0.2">
      <c r="A51" s="114"/>
      <c r="B51" s="75" t="s">
        <v>406</v>
      </c>
      <c r="C51" s="75" t="s">
        <v>328</v>
      </c>
      <c r="D51" s="75" t="s">
        <v>397</v>
      </c>
      <c r="E51" s="64"/>
      <c r="F51" s="73"/>
      <c r="G51" s="73"/>
      <c r="H51" s="73"/>
      <c r="I51" s="73"/>
      <c r="J51" s="73"/>
      <c r="K51" s="73"/>
    </row>
    <row r="52" spans="1:11" x14ac:dyDescent="0.2">
      <c r="A52" s="114"/>
      <c r="B52" s="75" t="s">
        <v>407</v>
      </c>
      <c r="C52" s="75" t="s">
        <v>327</v>
      </c>
      <c r="D52" s="75" t="s">
        <v>397</v>
      </c>
      <c r="E52" s="64"/>
      <c r="F52" s="73"/>
      <c r="G52" s="73"/>
      <c r="H52" s="73"/>
      <c r="I52" s="73"/>
      <c r="J52" s="73"/>
      <c r="K52" s="73"/>
    </row>
    <row r="53" spans="1:11" x14ac:dyDescent="0.2">
      <c r="A53" s="75" t="s">
        <v>408</v>
      </c>
      <c r="B53" s="75" t="s">
        <v>409</v>
      </c>
      <c r="C53" s="73"/>
      <c r="D53" s="73"/>
      <c r="E53" s="64"/>
      <c r="F53" s="73"/>
      <c r="G53" s="73"/>
      <c r="H53" s="73"/>
      <c r="I53" s="73"/>
      <c r="J53" s="73"/>
      <c r="K53" s="73"/>
    </row>
    <row r="54" spans="1:11" x14ac:dyDescent="0.2">
      <c r="A54" s="1"/>
      <c r="B54" s="1"/>
      <c r="C54" s="1"/>
      <c r="D54" s="1"/>
      <c r="E54" s="73"/>
      <c r="F54" s="73"/>
      <c r="G54" s="73"/>
      <c r="H54" s="73"/>
      <c r="I54" s="73"/>
      <c r="J54" s="73"/>
      <c r="K54" s="73"/>
    </row>
  </sheetData>
  <mergeCells count="10">
    <mergeCell ref="A7:A9"/>
    <mergeCell ref="A1:K2"/>
    <mergeCell ref="A4:A5"/>
    <mergeCell ref="A43:A52"/>
    <mergeCell ref="A25:A29"/>
    <mergeCell ref="A30:A32"/>
    <mergeCell ref="A33:A42"/>
    <mergeCell ref="J17:K17"/>
    <mergeCell ref="A20:A24"/>
    <mergeCell ref="A10:A1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3CF7-2F7A-437F-9FBB-913E15A5BF0A}">
  <dimension ref="A1:J43"/>
  <sheetViews>
    <sheetView workbookViewId="0">
      <pane ySplit="1" topLeftCell="A2" activePane="bottomLeft" state="frozen"/>
      <selection pane="bottomLeft" activeCell="L27" sqref="L27"/>
    </sheetView>
  </sheetViews>
  <sheetFormatPr defaultRowHeight="14.25" x14ac:dyDescent="0.2"/>
  <cols>
    <col min="1" max="1" width="11" style="63" customWidth="1"/>
    <col min="2" max="2" width="11.875" style="63" customWidth="1"/>
    <col min="3" max="4" width="10.625" style="63" customWidth="1"/>
    <col min="5" max="5" width="11.625" style="63" customWidth="1"/>
    <col min="6" max="6" width="4.625" style="63" customWidth="1"/>
    <col min="7" max="7" width="5" style="63" customWidth="1"/>
    <col min="8" max="8" width="4.25" style="63" customWidth="1"/>
    <col min="9" max="9" width="7.875" style="63" customWidth="1"/>
    <col min="10" max="10" width="18.125" style="63" customWidth="1"/>
    <col min="11" max="16384" width="9" style="63"/>
  </cols>
  <sheetData>
    <row r="1" spans="1:10" x14ac:dyDescent="0.2">
      <c r="A1" s="87" t="s">
        <v>503</v>
      </c>
      <c r="B1" s="87" t="s">
        <v>504</v>
      </c>
      <c r="C1" s="87" t="s">
        <v>505</v>
      </c>
      <c r="D1" s="87" t="s">
        <v>509</v>
      </c>
      <c r="E1" s="87" t="s">
        <v>506</v>
      </c>
      <c r="F1" s="87" t="s">
        <v>516</v>
      </c>
      <c r="G1" s="87" t="s">
        <v>507</v>
      </c>
      <c r="H1" s="87" t="s">
        <v>561</v>
      </c>
      <c r="I1" s="87" t="s">
        <v>562</v>
      </c>
      <c r="J1" s="63" t="s">
        <v>522</v>
      </c>
    </row>
    <row r="2" spans="1:10" x14ac:dyDescent="0.2">
      <c r="A2" s="119" t="s">
        <v>295</v>
      </c>
      <c r="B2" s="119" t="s">
        <v>267</v>
      </c>
      <c r="C2" s="119" t="s">
        <v>285</v>
      </c>
      <c r="D2" s="118" t="s">
        <v>510</v>
      </c>
      <c r="E2" s="85" t="s">
        <v>287</v>
      </c>
      <c r="F2" s="85">
        <v>0</v>
      </c>
      <c r="G2" s="85">
        <v>4</v>
      </c>
      <c r="H2" s="85">
        <v>4</v>
      </c>
      <c r="I2" s="85">
        <v>0</v>
      </c>
      <c r="J2" s="63" t="s">
        <v>563</v>
      </c>
    </row>
    <row r="3" spans="1:10" x14ac:dyDescent="0.2">
      <c r="A3" s="120"/>
      <c r="B3" s="120"/>
      <c r="C3" s="120"/>
      <c r="D3" s="118" t="s">
        <v>510</v>
      </c>
      <c r="E3" s="85" t="s">
        <v>285</v>
      </c>
      <c r="F3" s="85">
        <v>0</v>
      </c>
      <c r="G3" s="85">
        <v>1</v>
      </c>
      <c r="H3" s="85">
        <v>0</v>
      </c>
      <c r="I3" s="85">
        <v>1</v>
      </c>
    </row>
    <row r="4" spans="1:10" x14ac:dyDescent="0.2">
      <c r="A4" s="120"/>
      <c r="B4" s="120"/>
      <c r="C4" s="120"/>
      <c r="D4" s="118" t="s">
        <v>512</v>
      </c>
      <c r="E4" s="85" t="s">
        <v>287</v>
      </c>
      <c r="F4" s="85">
        <v>0</v>
      </c>
      <c r="G4" s="86">
        <v>4</v>
      </c>
      <c r="H4" s="86">
        <v>4</v>
      </c>
      <c r="I4" s="85">
        <v>0</v>
      </c>
      <c r="J4" s="63" t="s">
        <v>563</v>
      </c>
    </row>
    <row r="5" spans="1:10" x14ac:dyDescent="0.2">
      <c r="A5" s="120"/>
      <c r="B5" s="120"/>
      <c r="C5" s="120"/>
      <c r="D5" s="118" t="s">
        <v>512</v>
      </c>
      <c r="E5" s="85" t="s">
        <v>285</v>
      </c>
      <c r="F5" s="85">
        <v>0</v>
      </c>
      <c r="G5" s="85">
        <v>1</v>
      </c>
      <c r="H5" s="85">
        <v>0</v>
      </c>
      <c r="I5" s="85">
        <v>1</v>
      </c>
    </row>
    <row r="6" spans="1:10" x14ac:dyDescent="0.2">
      <c r="A6" s="120"/>
      <c r="B6" s="120"/>
      <c r="C6" s="120"/>
      <c r="D6" s="118" t="s">
        <v>513</v>
      </c>
      <c r="E6" s="85" t="s">
        <v>287</v>
      </c>
      <c r="F6" s="85">
        <v>0</v>
      </c>
      <c r="G6" s="86">
        <v>4</v>
      </c>
      <c r="H6" s="86">
        <v>4</v>
      </c>
      <c r="I6" s="85">
        <v>0</v>
      </c>
      <c r="J6" s="63" t="s">
        <v>563</v>
      </c>
    </row>
    <row r="7" spans="1:10" x14ac:dyDescent="0.2">
      <c r="A7" s="120"/>
      <c r="B7" s="120"/>
      <c r="C7" s="120"/>
      <c r="D7" s="118" t="s">
        <v>513</v>
      </c>
      <c r="E7" s="85" t="s">
        <v>285</v>
      </c>
      <c r="F7" s="85">
        <v>0</v>
      </c>
      <c r="G7" s="85">
        <v>1</v>
      </c>
      <c r="H7" s="85">
        <v>0</v>
      </c>
      <c r="I7" s="85">
        <v>1</v>
      </c>
    </row>
    <row r="8" spans="1:10" x14ac:dyDescent="0.2">
      <c r="A8" s="120"/>
      <c r="B8" s="120"/>
      <c r="C8" s="120"/>
      <c r="D8" s="118" t="s">
        <v>514</v>
      </c>
      <c r="E8" s="85" t="s">
        <v>287</v>
      </c>
      <c r="F8" s="85">
        <v>0</v>
      </c>
      <c r="G8" s="86">
        <v>4</v>
      </c>
      <c r="H8" s="86">
        <v>4</v>
      </c>
      <c r="I8" s="85">
        <v>0</v>
      </c>
      <c r="J8" s="63" t="s">
        <v>563</v>
      </c>
    </row>
    <row r="9" spans="1:10" x14ac:dyDescent="0.2">
      <c r="A9" s="120"/>
      <c r="B9" s="120"/>
      <c r="C9" s="121"/>
      <c r="D9" s="118" t="s">
        <v>514</v>
      </c>
      <c r="E9" s="85" t="s">
        <v>285</v>
      </c>
      <c r="F9" s="85">
        <v>0</v>
      </c>
      <c r="G9" s="85">
        <v>1</v>
      </c>
      <c r="H9" s="85">
        <v>0</v>
      </c>
      <c r="I9" s="85">
        <v>1</v>
      </c>
    </row>
    <row r="10" spans="1:10" x14ac:dyDescent="0.2">
      <c r="A10" s="120"/>
      <c r="B10" s="120"/>
      <c r="C10" s="119" t="s">
        <v>286</v>
      </c>
      <c r="D10" s="85" t="s">
        <v>510</v>
      </c>
      <c r="E10" s="85" t="s">
        <v>286</v>
      </c>
      <c r="F10" s="118">
        <v>1</v>
      </c>
      <c r="G10" s="118">
        <v>1</v>
      </c>
      <c r="H10" s="118">
        <v>0</v>
      </c>
      <c r="I10" s="118">
        <v>0</v>
      </c>
    </row>
    <row r="11" spans="1:10" x14ac:dyDescent="0.2">
      <c r="A11" s="120"/>
      <c r="B11" s="120"/>
      <c r="C11" s="120"/>
      <c r="D11" s="85" t="s">
        <v>512</v>
      </c>
      <c r="E11" s="85" t="s">
        <v>286</v>
      </c>
      <c r="F11" s="118"/>
      <c r="G11" s="118"/>
      <c r="H11" s="118"/>
      <c r="I11" s="118"/>
    </row>
    <row r="12" spans="1:10" x14ac:dyDescent="0.2">
      <c r="A12" s="120"/>
      <c r="B12" s="120"/>
      <c r="C12" s="120"/>
      <c r="D12" s="85" t="s">
        <v>513</v>
      </c>
      <c r="E12" s="85" t="s">
        <v>286</v>
      </c>
      <c r="F12" s="118"/>
      <c r="G12" s="118"/>
      <c r="H12" s="118"/>
      <c r="I12" s="118"/>
    </row>
    <row r="13" spans="1:10" ht="12.75" customHeight="1" x14ac:dyDescent="0.2">
      <c r="A13" s="120"/>
      <c r="B13" s="120"/>
      <c r="C13" s="121"/>
      <c r="D13" s="85" t="s">
        <v>514</v>
      </c>
      <c r="E13" s="85" t="s">
        <v>286</v>
      </c>
      <c r="F13" s="85">
        <v>0</v>
      </c>
      <c r="G13" s="85">
        <v>1</v>
      </c>
      <c r="H13" s="85">
        <v>0</v>
      </c>
      <c r="I13" s="85">
        <v>1</v>
      </c>
    </row>
    <row r="14" spans="1:10" x14ac:dyDescent="0.2">
      <c r="A14" s="120"/>
      <c r="B14" s="120"/>
      <c r="C14" s="119" t="s">
        <v>515</v>
      </c>
      <c r="D14" s="85" t="s">
        <v>510</v>
      </c>
      <c r="E14" s="85" t="s">
        <v>291</v>
      </c>
      <c r="F14" s="91">
        <v>1</v>
      </c>
      <c r="G14" s="91">
        <v>1</v>
      </c>
      <c r="H14" s="91">
        <v>0</v>
      </c>
      <c r="I14" s="91">
        <v>0</v>
      </c>
    </row>
    <row r="15" spans="1:10" x14ac:dyDescent="0.2">
      <c r="A15" s="120"/>
      <c r="B15" s="120"/>
      <c r="C15" s="120" t="s">
        <v>515</v>
      </c>
      <c r="D15" s="85" t="s">
        <v>512</v>
      </c>
      <c r="E15" s="85" t="s">
        <v>291</v>
      </c>
      <c r="F15" s="91"/>
      <c r="G15" s="91"/>
      <c r="H15" s="91"/>
      <c r="I15" s="91"/>
    </row>
    <row r="16" spans="1:10" x14ac:dyDescent="0.2">
      <c r="A16" s="120"/>
      <c r="B16" s="120"/>
      <c r="C16" s="120" t="s">
        <v>515</v>
      </c>
      <c r="D16" s="85" t="s">
        <v>513</v>
      </c>
      <c r="E16" s="85" t="s">
        <v>291</v>
      </c>
      <c r="F16" s="91"/>
      <c r="G16" s="91"/>
      <c r="H16" s="91"/>
      <c r="I16" s="91"/>
    </row>
    <row r="17" spans="1:10" x14ac:dyDescent="0.2">
      <c r="A17" s="120"/>
      <c r="B17" s="120"/>
      <c r="C17" s="121" t="s">
        <v>515</v>
      </c>
      <c r="D17" s="85" t="s">
        <v>514</v>
      </c>
      <c r="E17" s="85" t="s">
        <v>291</v>
      </c>
      <c r="F17" s="85">
        <v>0</v>
      </c>
      <c r="G17" s="85">
        <v>1</v>
      </c>
      <c r="H17" s="85">
        <v>0</v>
      </c>
      <c r="I17" s="85">
        <v>1</v>
      </c>
    </row>
    <row r="18" spans="1:10" x14ac:dyDescent="0.2">
      <c r="A18" s="120"/>
      <c r="B18" s="120"/>
      <c r="C18" s="119" t="s">
        <v>508</v>
      </c>
      <c r="D18" s="85" t="s">
        <v>510</v>
      </c>
      <c r="E18" s="85" t="s">
        <v>291</v>
      </c>
      <c r="F18" s="85">
        <v>0</v>
      </c>
      <c r="G18" s="85">
        <v>4</v>
      </c>
      <c r="H18" s="85">
        <v>0</v>
      </c>
      <c r="I18" s="85">
        <v>0</v>
      </c>
      <c r="J18" s="63" t="s">
        <v>524</v>
      </c>
    </row>
    <row r="19" spans="1:10" x14ac:dyDescent="0.2">
      <c r="A19" s="120"/>
      <c r="B19" s="121"/>
      <c r="C19" s="121"/>
      <c r="D19" s="85" t="s">
        <v>514</v>
      </c>
      <c r="E19" s="85" t="s">
        <v>291</v>
      </c>
      <c r="F19" s="85">
        <v>0</v>
      </c>
      <c r="G19" s="85">
        <v>4</v>
      </c>
      <c r="H19" s="85">
        <v>0</v>
      </c>
      <c r="I19" s="85">
        <v>1</v>
      </c>
      <c r="J19" s="63" t="s">
        <v>524</v>
      </c>
    </row>
    <row r="20" spans="1:10" x14ac:dyDescent="0.2">
      <c r="A20" s="120"/>
      <c r="B20" s="119" t="s">
        <v>272</v>
      </c>
      <c r="C20" s="119" t="s">
        <v>287</v>
      </c>
      <c r="D20" s="85" t="s">
        <v>510</v>
      </c>
      <c r="E20" s="85" t="s">
        <v>287</v>
      </c>
      <c r="F20" s="85">
        <v>0</v>
      </c>
      <c r="G20" s="85">
        <v>1</v>
      </c>
      <c r="H20" s="85">
        <v>1</v>
      </c>
      <c r="I20" s="85">
        <v>0</v>
      </c>
    </row>
    <row r="21" spans="1:10" x14ac:dyDescent="0.2">
      <c r="A21" s="120"/>
      <c r="B21" s="120"/>
      <c r="C21" s="120" t="s">
        <v>287</v>
      </c>
      <c r="D21" s="85" t="s">
        <v>512</v>
      </c>
      <c r="E21" s="85" t="s">
        <v>287</v>
      </c>
      <c r="F21" s="85">
        <v>0</v>
      </c>
      <c r="G21" s="85">
        <v>1</v>
      </c>
      <c r="H21" s="85">
        <v>1</v>
      </c>
      <c r="I21" s="85">
        <v>0</v>
      </c>
    </row>
    <row r="22" spans="1:10" x14ac:dyDescent="0.2">
      <c r="A22" s="120"/>
      <c r="B22" s="120"/>
      <c r="C22" s="120" t="s">
        <v>287</v>
      </c>
      <c r="D22" s="85" t="s">
        <v>513</v>
      </c>
      <c r="E22" s="85" t="s">
        <v>287</v>
      </c>
      <c r="F22" s="85">
        <v>0</v>
      </c>
      <c r="G22" s="85">
        <v>1</v>
      </c>
      <c r="H22" s="85">
        <v>1</v>
      </c>
      <c r="I22" s="85">
        <v>0</v>
      </c>
    </row>
    <row r="23" spans="1:10" x14ac:dyDescent="0.2">
      <c r="A23" s="120"/>
      <c r="B23" s="120"/>
      <c r="C23" s="121" t="s">
        <v>287</v>
      </c>
      <c r="D23" s="85" t="s">
        <v>514</v>
      </c>
      <c r="E23" s="85" t="s">
        <v>287</v>
      </c>
      <c r="F23" s="85">
        <v>0</v>
      </c>
      <c r="G23" s="85">
        <v>1</v>
      </c>
      <c r="H23" s="85">
        <v>1</v>
      </c>
      <c r="I23" s="85">
        <v>0</v>
      </c>
    </row>
    <row r="24" spans="1:10" x14ac:dyDescent="0.2">
      <c r="A24" s="120"/>
      <c r="B24" s="120"/>
      <c r="C24" s="119" t="s">
        <v>285</v>
      </c>
      <c r="D24" s="85" t="s">
        <v>510</v>
      </c>
      <c r="E24" s="85" t="s">
        <v>285</v>
      </c>
      <c r="F24" s="118">
        <v>1</v>
      </c>
      <c r="G24" s="118">
        <v>1</v>
      </c>
      <c r="H24" s="118">
        <v>0</v>
      </c>
      <c r="I24" s="118">
        <v>0</v>
      </c>
    </row>
    <row r="25" spans="1:10" x14ac:dyDescent="0.2">
      <c r="A25" s="120"/>
      <c r="B25" s="120"/>
      <c r="C25" s="120" t="s">
        <v>285</v>
      </c>
      <c r="D25" s="85" t="s">
        <v>512</v>
      </c>
      <c r="E25" s="85" t="s">
        <v>285</v>
      </c>
      <c r="F25" s="118"/>
      <c r="G25" s="118"/>
      <c r="H25" s="118"/>
      <c r="I25" s="118"/>
    </row>
    <row r="26" spans="1:10" x14ac:dyDescent="0.2">
      <c r="A26" s="120"/>
      <c r="B26" s="120"/>
      <c r="C26" s="120" t="s">
        <v>285</v>
      </c>
      <c r="D26" s="85" t="s">
        <v>513</v>
      </c>
      <c r="E26" s="85" t="s">
        <v>285</v>
      </c>
      <c r="F26" s="118"/>
      <c r="G26" s="118"/>
      <c r="H26" s="118"/>
      <c r="I26" s="118"/>
    </row>
    <row r="27" spans="1:10" x14ac:dyDescent="0.2">
      <c r="A27" s="120"/>
      <c r="B27" s="120"/>
      <c r="C27" s="121" t="s">
        <v>285</v>
      </c>
      <c r="D27" s="85" t="s">
        <v>514</v>
      </c>
      <c r="E27" s="85" t="s">
        <v>285</v>
      </c>
      <c r="F27" s="85">
        <v>0</v>
      </c>
      <c r="G27" s="85">
        <v>1</v>
      </c>
      <c r="H27" s="85">
        <v>0</v>
      </c>
      <c r="I27" s="85">
        <v>1</v>
      </c>
    </row>
    <row r="28" spans="1:10" x14ac:dyDescent="0.2">
      <c r="A28" s="120"/>
      <c r="B28" s="120"/>
      <c r="C28" s="119" t="s">
        <v>286</v>
      </c>
      <c r="D28" s="85" t="s">
        <v>510</v>
      </c>
      <c r="E28" s="85" t="s">
        <v>286</v>
      </c>
      <c r="F28" s="118">
        <v>1</v>
      </c>
      <c r="G28" s="118">
        <v>1</v>
      </c>
      <c r="H28" s="118">
        <v>0</v>
      </c>
      <c r="I28" s="118">
        <v>0</v>
      </c>
    </row>
    <row r="29" spans="1:10" x14ac:dyDescent="0.2">
      <c r="A29" s="120"/>
      <c r="B29" s="120"/>
      <c r="C29" s="120" t="s">
        <v>286</v>
      </c>
      <c r="D29" s="85" t="s">
        <v>512</v>
      </c>
      <c r="E29" s="85" t="s">
        <v>286</v>
      </c>
      <c r="F29" s="118"/>
      <c r="G29" s="118"/>
      <c r="H29" s="118"/>
      <c r="I29" s="118"/>
    </row>
    <row r="30" spans="1:10" x14ac:dyDescent="0.2">
      <c r="A30" s="120"/>
      <c r="B30" s="120"/>
      <c r="C30" s="120" t="s">
        <v>286</v>
      </c>
      <c r="D30" s="85" t="s">
        <v>513</v>
      </c>
      <c r="E30" s="85" t="s">
        <v>286</v>
      </c>
      <c r="F30" s="118"/>
      <c r="G30" s="118"/>
      <c r="H30" s="118"/>
      <c r="I30" s="118"/>
    </row>
    <row r="31" spans="1:10" x14ac:dyDescent="0.2">
      <c r="A31" s="120"/>
      <c r="B31" s="120"/>
      <c r="C31" s="121" t="s">
        <v>286</v>
      </c>
      <c r="D31" s="85" t="s">
        <v>514</v>
      </c>
      <c r="E31" s="85" t="s">
        <v>286</v>
      </c>
      <c r="F31" s="85">
        <v>0</v>
      </c>
      <c r="G31" s="85">
        <v>1</v>
      </c>
      <c r="H31" s="85">
        <v>0</v>
      </c>
      <c r="I31" s="85">
        <v>1</v>
      </c>
    </row>
    <row r="32" spans="1:10" x14ac:dyDescent="0.2">
      <c r="A32" s="120"/>
      <c r="B32" s="120"/>
      <c r="C32" s="119" t="s">
        <v>291</v>
      </c>
      <c r="D32" s="85" t="s">
        <v>510</v>
      </c>
      <c r="E32" s="85" t="s">
        <v>286</v>
      </c>
      <c r="F32" s="85">
        <v>0</v>
      </c>
      <c r="G32" s="85">
        <v>4</v>
      </c>
      <c r="H32" s="85">
        <v>0</v>
      </c>
      <c r="I32" s="85">
        <v>0</v>
      </c>
      <c r="J32" s="63" t="s">
        <v>524</v>
      </c>
    </row>
    <row r="33" spans="1:10" x14ac:dyDescent="0.2">
      <c r="A33" s="121"/>
      <c r="B33" s="121"/>
      <c r="C33" s="121" t="s">
        <v>291</v>
      </c>
      <c r="D33" s="85" t="s">
        <v>514</v>
      </c>
      <c r="E33" s="85" t="s">
        <v>286</v>
      </c>
      <c r="F33" s="85">
        <v>0</v>
      </c>
      <c r="G33" s="85">
        <v>4</v>
      </c>
      <c r="H33" s="85">
        <v>0</v>
      </c>
      <c r="I33" s="85">
        <v>1</v>
      </c>
      <c r="J33" s="63" t="s">
        <v>524</v>
      </c>
    </row>
    <row r="34" spans="1:10" x14ac:dyDescent="0.2">
      <c r="A34" s="122" t="s">
        <v>204</v>
      </c>
      <c r="B34" s="122" t="s">
        <v>267</v>
      </c>
      <c r="C34" s="122" t="s">
        <v>285</v>
      </c>
      <c r="D34" s="85" t="s">
        <v>510</v>
      </c>
      <c r="E34" s="85" t="s">
        <v>287</v>
      </c>
      <c r="F34" s="85">
        <v>0</v>
      </c>
      <c r="G34" s="85">
        <v>1</v>
      </c>
      <c r="H34" s="85">
        <v>0</v>
      </c>
      <c r="I34" s="85">
        <v>0</v>
      </c>
      <c r="J34" s="63" t="s">
        <v>560</v>
      </c>
    </row>
    <row r="35" spans="1:10" x14ac:dyDescent="0.2">
      <c r="A35" s="122"/>
      <c r="B35" s="122"/>
      <c r="C35" s="122" t="s">
        <v>285</v>
      </c>
      <c r="D35" s="85" t="s">
        <v>514</v>
      </c>
      <c r="E35" s="85" t="s">
        <v>287</v>
      </c>
      <c r="F35" s="85">
        <v>0</v>
      </c>
      <c r="G35" s="85">
        <v>1</v>
      </c>
      <c r="H35" s="85">
        <v>0</v>
      </c>
      <c r="I35" s="85">
        <v>1</v>
      </c>
      <c r="J35" s="63" t="s">
        <v>560</v>
      </c>
    </row>
    <row r="36" spans="1:10" x14ac:dyDescent="0.2">
      <c r="A36" s="122"/>
      <c r="B36" s="122"/>
      <c r="C36" s="122" t="s">
        <v>286</v>
      </c>
      <c r="D36" s="118" t="s">
        <v>510</v>
      </c>
      <c r="E36" s="85" t="s">
        <v>287</v>
      </c>
      <c r="F36" s="85">
        <v>0</v>
      </c>
      <c r="G36" s="85">
        <v>1</v>
      </c>
      <c r="H36" s="85">
        <v>0</v>
      </c>
      <c r="I36" s="85">
        <v>0</v>
      </c>
      <c r="J36" s="63" t="s">
        <v>560</v>
      </c>
    </row>
    <row r="37" spans="1:10" x14ac:dyDescent="0.2">
      <c r="A37" s="122"/>
      <c r="B37" s="122"/>
      <c r="C37" s="122" t="s">
        <v>517</v>
      </c>
      <c r="D37" s="118" t="s">
        <v>511</v>
      </c>
      <c r="E37" s="85" t="s">
        <v>285</v>
      </c>
      <c r="F37" s="85">
        <v>0</v>
      </c>
      <c r="G37" s="85">
        <v>1</v>
      </c>
      <c r="H37" s="85">
        <v>0</v>
      </c>
      <c r="I37" s="85">
        <v>0</v>
      </c>
      <c r="J37" s="63" t="s">
        <v>560</v>
      </c>
    </row>
    <row r="38" spans="1:10" x14ac:dyDescent="0.2">
      <c r="A38" s="122"/>
      <c r="B38" s="122"/>
      <c r="C38" s="122" t="s">
        <v>286</v>
      </c>
      <c r="D38" s="118" t="s">
        <v>514</v>
      </c>
      <c r="E38" s="85" t="s">
        <v>287</v>
      </c>
      <c r="F38" s="85">
        <v>0</v>
      </c>
      <c r="G38" s="85">
        <v>1</v>
      </c>
      <c r="H38" s="85">
        <v>0</v>
      </c>
      <c r="I38" s="85">
        <v>0</v>
      </c>
      <c r="J38" s="63" t="s">
        <v>560</v>
      </c>
    </row>
    <row r="39" spans="1:10" x14ac:dyDescent="0.2">
      <c r="A39" s="122"/>
      <c r="B39" s="122"/>
      <c r="C39" s="122" t="s">
        <v>517</v>
      </c>
      <c r="D39" s="118" t="s">
        <v>514</v>
      </c>
      <c r="E39" s="85" t="s">
        <v>285</v>
      </c>
      <c r="F39" s="85">
        <v>0</v>
      </c>
      <c r="G39" s="85">
        <v>1</v>
      </c>
      <c r="H39" s="85">
        <v>0</v>
      </c>
      <c r="I39" s="85">
        <v>1</v>
      </c>
      <c r="J39" s="63" t="s">
        <v>560</v>
      </c>
    </row>
    <row r="40" spans="1:10" x14ac:dyDescent="0.2">
      <c r="A40" s="122"/>
      <c r="B40" s="122" t="s">
        <v>272</v>
      </c>
      <c r="C40" s="122" t="s">
        <v>287</v>
      </c>
      <c r="D40" s="85" t="s">
        <v>510</v>
      </c>
      <c r="E40" s="85" t="s">
        <v>287</v>
      </c>
      <c r="F40" s="85">
        <v>0</v>
      </c>
      <c r="G40" s="85">
        <v>1</v>
      </c>
      <c r="H40" s="85">
        <v>0</v>
      </c>
      <c r="I40" s="85">
        <v>0</v>
      </c>
      <c r="J40" s="63" t="s">
        <v>560</v>
      </c>
    </row>
    <row r="41" spans="1:10" x14ac:dyDescent="0.2">
      <c r="A41" s="122"/>
      <c r="B41" s="122"/>
      <c r="C41" s="122" t="s">
        <v>285</v>
      </c>
      <c r="D41" s="85" t="s">
        <v>514</v>
      </c>
      <c r="E41" s="85" t="s">
        <v>287</v>
      </c>
      <c r="F41" s="85">
        <v>0</v>
      </c>
      <c r="G41" s="85">
        <v>1</v>
      </c>
      <c r="H41" s="85">
        <v>0</v>
      </c>
      <c r="I41" s="85">
        <v>1</v>
      </c>
      <c r="J41" s="63" t="s">
        <v>560</v>
      </c>
    </row>
    <row r="42" spans="1:10" x14ac:dyDescent="0.2">
      <c r="A42" s="122"/>
      <c r="B42" s="122"/>
      <c r="C42" s="122" t="s">
        <v>285</v>
      </c>
      <c r="D42" s="85" t="s">
        <v>510</v>
      </c>
      <c r="E42" s="85" t="s">
        <v>287</v>
      </c>
      <c r="F42" s="85">
        <v>0</v>
      </c>
      <c r="G42" s="85">
        <v>1</v>
      </c>
      <c r="H42" s="85">
        <v>0</v>
      </c>
      <c r="I42" s="85">
        <v>0</v>
      </c>
      <c r="J42" s="63" t="s">
        <v>560</v>
      </c>
    </row>
    <row r="43" spans="1:10" x14ac:dyDescent="0.2">
      <c r="A43" s="122"/>
      <c r="B43" s="122"/>
      <c r="C43" s="122" t="s">
        <v>285</v>
      </c>
      <c r="D43" s="85" t="s">
        <v>514</v>
      </c>
      <c r="E43" s="85" t="s">
        <v>287</v>
      </c>
      <c r="F43" s="85">
        <v>0</v>
      </c>
      <c r="G43" s="85">
        <v>1</v>
      </c>
      <c r="H43" s="85">
        <v>0</v>
      </c>
      <c r="I43" s="85">
        <v>1</v>
      </c>
      <c r="J43" s="63" t="s">
        <v>560</v>
      </c>
    </row>
  </sheetData>
  <mergeCells count="36">
    <mergeCell ref="C40:C41"/>
    <mergeCell ref="C42:C43"/>
    <mergeCell ref="A34:A43"/>
    <mergeCell ref="B2:B19"/>
    <mergeCell ref="B20:B33"/>
    <mergeCell ref="B34:B39"/>
    <mergeCell ref="B40:B43"/>
    <mergeCell ref="A2:A33"/>
    <mergeCell ref="D36:D37"/>
    <mergeCell ref="D38:D39"/>
    <mergeCell ref="C2:C9"/>
    <mergeCell ref="C10:C13"/>
    <mergeCell ref="C14:C17"/>
    <mergeCell ref="C20:C23"/>
    <mergeCell ref="C24:C27"/>
    <mergeCell ref="C28:C31"/>
    <mergeCell ref="C18:C19"/>
    <mergeCell ref="D8:D9"/>
    <mergeCell ref="D6:D7"/>
    <mergeCell ref="D4:D5"/>
    <mergeCell ref="D2:D3"/>
    <mergeCell ref="C32:C33"/>
    <mergeCell ref="C34:C35"/>
    <mergeCell ref="C36:C39"/>
    <mergeCell ref="F10:F12"/>
    <mergeCell ref="G10:G12"/>
    <mergeCell ref="H10:H12"/>
    <mergeCell ref="I10:I12"/>
    <mergeCell ref="F28:F30"/>
    <mergeCell ref="G28:G30"/>
    <mergeCell ref="H28:H30"/>
    <mergeCell ref="I28:I30"/>
    <mergeCell ref="F24:F26"/>
    <mergeCell ref="G24:G26"/>
    <mergeCell ref="H24:H26"/>
    <mergeCell ref="I24:I2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790-0C84-44DF-9CE1-7C181D6C9B9E}">
  <dimension ref="A1:BB61"/>
  <sheetViews>
    <sheetView showGridLines="0" zoomScale="70" zoomScaleNormal="70" workbookViewId="0">
      <selection activeCell="AB24" sqref="AB24"/>
    </sheetView>
  </sheetViews>
  <sheetFormatPr defaultRowHeight="14.25" x14ac:dyDescent="0.2"/>
  <cols>
    <col min="3" max="59" width="4.625" customWidth="1"/>
  </cols>
  <sheetData>
    <row r="1" spans="1:54" ht="15" thickBot="1" x14ac:dyDescent="0.25">
      <c r="A1" s="123" t="s">
        <v>295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5"/>
      <c r="AC1" s="123" t="s">
        <v>299</v>
      </c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5"/>
    </row>
    <row r="2" spans="1:54" ht="15" thickBot="1" x14ac:dyDescent="0.25">
      <c r="A2" t="s">
        <v>290</v>
      </c>
      <c r="H2" t="s">
        <v>298</v>
      </c>
      <c r="O2" t="s">
        <v>294</v>
      </c>
      <c r="AC2" t="s">
        <v>290</v>
      </c>
      <c r="AN2" t="s">
        <v>559</v>
      </c>
    </row>
    <row r="3" spans="1:54" ht="15" thickBot="1" x14ac:dyDescent="0.25">
      <c r="A3" t="s">
        <v>285</v>
      </c>
      <c r="C3" s="129" t="s">
        <v>288</v>
      </c>
      <c r="D3" s="133"/>
      <c r="E3" s="133"/>
      <c r="F3" s="130"/>
      <c r="H3" s="129" t="s">
        <v>289</v>
      </c>
      <c r="I3" s="130"/>
      <c r="J3" s="129">
        <v>1</v>
      </c>
      <c r="K3" s="130"/>
      <c r="O3" t="s">
        <v>287</v>
      </c>
      <c r="Q3" s="83" t="s">
        <v>495</v>
      </c>
      <c r="R3" s="84"/>
      <c r="AC3" t="s">
        <v>285</v>
      </c>
      <c r="AE3" t="s">
        <v>300</v>
      </c>
    </row>
    <row r="4" spans="1:54" ht="15" thickBot="1" x14ac:dyDescent="0.25">
      <c r="C4" s="126"/>
      <c r="D4" s="127"/>
      <c r="E4" s="127"/>
      <c r="F4" s="128"/>
      <c r="H4" s="131"/>
      <c r="I4" s="132"/>
      <c r="J4" s="131"/>
      <c r="K4" s="132"/>
      <c r="Q4" s="57"/>
      <c r="R4" s="59"/>
      <c r="AE4" s="129" t="s">
        <v>289</v>
      </c>
      <c r="AF4" s="130"/>
      <c r="AG4" s="129">
        <v>1</v>
      </c>
      <c r="AH4" s="130"/>
      <c r="AN4" s="129" t="s">
        <v>289</v>
      </c>
      <c r="AO4" s="130"/>
    </row>
    <row r="5" spans="1:54" ht="15" thickBot="1" x14ac:dyDescent="0.25">
      <c r="C5" s="129">
        <v>1</v>
      </c>
      <c r="D5" s="133"/>
      <c r="E5" s="133"/>
      <c r="F5" s="130"/>
      <c r="H5" s="131"/>
      <c r="I5" s="132"/>
      <c r="J5" s="131"/>
      <c r="K5" s="132"/>
      <c r="AE5" s="131"/>
      <c r="AF5" s="132"/>
      <c r="AG5" s="131"/>
      <c r="AH5" s="132"/>
      <c r="AN5" s="131"/>
      <c r="AO5" s="132"/>
    </row>
    <row r="6" spans="1:54" ht="15" thickBot="1" x14ac:dyDescent="0.25">
      <c r="C6" s="126"/>
      <c r="D6" s="127"/>
      <c r="E6" s="127"/>
      <c r="F6" s="128"/>
      <c r="H6" s="126"/>
      <c r="I6" s="128"/>
      <c r="J6" s="126"/>
      <c r="K6" s="128"/>
      <c r="Q6" s="83" t="s">
        <v>496</v>
      </c>
      <c r="R6" s="84"/>
      <c r="AE6" s="131"/>
      <c r="AF6" s="132"/>
      <c r="AG6" s="131"/>
      <c r="AH6" s="132"/>
      <c r="AN6" s="131"/>
      <c r="AO6" s="132"/>
    </row>
    <row r="7" spans="1:54" ht="15" thickBot="1" x14ac:dyDescent="0.25">
      <c r="C7" s="129">
        <v>2</v>
      </c>
      <c r="D7" s="133"/>
      <c r="E7" s="133"/>
      <c r="F7" s="130"/>
      <c r="H7" s="129">
        <v>2</v>
      </c>
      <c r="I7" s="130"/>
      <c r="J7" s="129">
        <v>3</v>
      </c>
      <c r="K7" s="130"/>
      <c r="Q7" s="57"/>
      <c r="R7" s="59"/>
      <c r="AE7" s="126"/>
      <c r="AF7" s="128"/>
      <c r="AG7" s="126"/>
      <c r="AH7" s="128"/>
      <c r="AN7" s="126"/>
      <c r="AO7" s="128"/>
    </row>
    <row r="8" spans="1:54" ht="15" thickBot="1" x14ac:dyDescent="0.25">
      <c r="C8" s="126"/>
      <c r="D8" s="127"/>
      <c r="E8" s="127"/>
      <c r="F8" s="128"/>
      <c r="H8" s="131"/>
      <c r="I8" s="132"/>
      <c r="J8" s="131"/>
      <c r="K8" s="132"/>
      <c r="AE8" s="129">
        <v>2</v>
      </c>
      <c r="AF8" s="130"/>
      <c r="AG8" s="129">
        <v>3</v>
      </c>
      <c r="AH8" s="130"/>
    </row>
    <row r="9" spans="1:54" x14ac:dyDescent="0.2">
      <c r="C9" s="55"/>
      <c r="D9" s="1"/>
      <c r="E9" s="1"/>
      <c r="F9" s="56"/>
      <c r="H9" s="131"/>
      <c r="I9" s="132"/>
      <c r="J9" s="131"/>
      <c r="K9" s="132"/>
      <c r="AE9" s="131"/>
      <c r="AF9" s="132"/>
      <c r="AG9" s="131"/>
      <c r="AH9" s="132"/>
    </row>
    <row r="10" spans="1:54" ht="15" thickBot="1" x14ac:dyDescent="0.25">
      <c r="C10" s="57"/>
      <c r="D10" s="58"/>
      <c r="E10" s="58"/>
      <c r="F10" s="59"/>
      <c r="H10" s="126"/>
      <c r="I10" s="128"/>
      <c r="J10" s="126"/>
      <c r="K10" s="128"/>
      <c r="AE10" s="131"/>
      <c r="AF10" s="132"/>
      <c r="AG10" s="131"/>
      <c r="AH10" s="132"/>
    </row>
    <row r="11" spans="1:54" ht="15" thickBot="1" x14ac:dyDescent="0.25">
      <c r="AE11" s="126"/>
      <c r="AF11" s="128"/>
      <c r="AG11" s="126"/>
      <c r="AH11" s="128"/>
    </row>
    <row r="12" spans="1:54" ht="15" thickBot="1" x14ac:dyDescent="0.25">
      <c r="A12" t="s">
        <v>267</v>
      </c>
      <c r="O12" t="s">
        <v>272</v>
      </c>
    </row>
    <row r="13" spans="1:54" ht="15" thickBot="1" x14ac:dyDescent="0.25">
      <c r="A13" t="s">
        <v>286</v>
      </c>
      <c r="C13" s="123" t="s">
        <v>292</v>
      </c>
      <c r="D13" s="124"/>
      <c r="E13" s="124"/>
      <c r="F13" s="125"/>
      <c r="O13" t="s">
        <v>285</v>
      </c>
      <c r="Q13" s="123" t="s">
        <v>301</v>
      </c>
      <c r="R13" s="124"/>
      <c r="S13" s="124"/>
      <c r="T13" s="125"/>
      <c r="V13" s="123" t="s">
        <v>302</v>
      </c>
      <c r="W13" s="124"/>
      <c r="X13" s="124"/>
      <c r="Y13" s="125"/>
      <c r="AC13" t="s">
        <v>286</v>
      </c>
      <c r="AE13" s="134" t="s">
        <v>303</v>
      </c>
      <c r="AF13" s="134"/>
      <c r="AG13" s="134"/>
      <c r="AH13" s="134"/>
      <c r="AN13" s="127" t="s">
        <v>298</v>
      </c>
      <c r="AO13" s="127"/>
      <c r="AP13" s="127"/>
      <c r="AQ13" s="127"/>
      <c r="AX13" t="s">
        <v>294</v>
      </c>
    </row>
    <row r="14" spans="1:54" ht="15" thickBot="1" x14ac:dyDescent="0.25">
      <c r="C14" s="129">
        <v>1</v>
      </c>
      <c r="D14" s="133"/>
      <c r="E14" s="133"/>
      <c r="F14" s="130"/>
      <c r="Q14" s="123">
        <v>1</v>
      </c>
      <c r="R14" s="124"/>
      <c r="S14" s="124"/>
      <c r="T14" s="125"/>
      <c r="V14" s="123">
        <v>1</v>
      </c>
      <c r="W14" s="124"/>
      <c r="X14" s="124"/>
      <c r="Y14" s="125"/>
      <c r="AE14" s="129">
        <v>0</v>
      </c>
      <c r="AF14" s="133"/>
      <c r="AG14" s="133"/>
      <c r="AH14" s="130"/>
      <c r="AI14" s="129">
        <v>2</v>
      </c>
      <c r="AJ14" s="133"/>
      <c r="AK14" s="133"/>
      <c r="AL14" s="130"/>
      <c r="AN14" s="129">
        <v>0</v>
      </c>
      <c r="AO14" s="130"/>
      <c r="AP14" s="129">
        <v>1</v>
      </c>
      <c r="AQ14" s="130"/>
      <c r="AR14" s="129">
        <v>8</v>
      </c>
      <c r="AS14" s="130"/>
      <c r="AT14" s="129">
        <v>9</v>
      </c>
      <c r="AU14" s="130"/>
      <c r="AX14" t="s">
        <v>285</v>
      </c>
      <c r="AY14" s="129" t="s">
        <v>289</v>
      </c>
      <c r="AZ14" s="130"/>
      <c r="BA14" s="129">
        <v>1</v>
      </c>
      <c r="BB14" s="130"/>
    </row>
    <row r="15" spans="1:54" ht="15" thickBot="1" x14ac:dyDescent="0.25">
      <c r="C15" s="55"/>
      <c r="D15" s="1"/>
      <c r="E15" s="1"/>
      <c r="F15" s="56"/>
      <c r="Q15" s="123">
        <v>2</v>
      </c>
      <c r="R15" s="124"/>
      <c r="S15" s="124"/>
      <c r="T15" s="125"/>
      <c r="V15" s="123">
        <v>2</v>
      </c>
      <c r="W15" s="124"/>
      <c r="X15" s="124"/>
      <c r="Y15" s="125"/>
      <c r="AE15" s="131"/>
      <c r="AF15" s="134"/>
      <c r="AG15" s="134"/>
      <c r="AH15" s="132"/>
      <c r="AI15" s="131"/>
      <c r="AJ15" s="134"/>
      <c r="AK15" s="134"/>
      <c r="AL15" s="132"/>
      <c r="AN15" s="126"/>
      <c r="AO15" s="128"/>
      <c r="AP15" s="126"/>
      <c r="AQ15" s="128"/>
      <c r="AR15" s="126"/>
      <c r="AS15" s="128"/>
      <c r="AT15" s="126"/>
      <c r="AU15" s="128"/>
      <c r="AY15" s="131"/>
      <c r="AZ15" s="132"/>
      <c r="BA15" s="131"/>
      <c r="BB15" s="132"/>
    </row>
    <row r="16" spans="1:54" ht="15" thickBot="1" x14ac:dyDescent="0.25">
      <c r="C16" s="55"/>
      <c r="D16" s="1"/>
      <c r="E16" s="1"/>
      <c r="F16" s="56"/>
      <c r="Q16" s="123">
        <v>3</v>
      </c>
      <c r="R16" s="124"/>
      <c r="S16" s="124"/>
      <c r="T16" s="125"/>
      <c r="V16" s="123">
        <v>3</v>
      </c>
      <c r="W16" s="124"/>
      <c r="X16" s="124"/>
      <c r="Y16" s="125"/>
      <c r="AE16" s="131"/>
      <c r="AF16" s="134"/>
      <c r="AG16" s="134"/>
      <c r="AH16" s="132"/>
      <c r="AI16" s="131"/>
      <c r="AJ16" s="134"/>
      <c r="AK16" s="134"/>
      <c r="AL16" s="132"/>
      <c r="AN16" s="129">
        <v>2</v>
      </c>
      <c r="AO16" s="130"/>
      <c r="AP16" s="129">
        <v>3</v>
      </c>
      <c r="AQ16" s="130"/>
      <c r="AR16" s="129">
        <v>10</v>
      </c>
      <c r="AS16" s="130"/>
      <c r="AT16" s="129">
        <v>11</v>
      </c>
      <c r="AU16" s="130"/>
      <c r="AY16" s="131"/>
      <c r="AZ16" s="132"/>
      <c r="BA16" s="131"/>
      <c r="BB16" s="132"/>
    </row>
    <row r="17" spans="1:54" ht="15" thickBot="1" x14ac:dyDescent="0.25">
      <c r="C17" s="55"/>
      <c r="D17" s="1"/>
      <c r="E17" s="1"/>
      <c r="F17" s="56"/>
      <c r="Q17" s="55"/>
      <c r="R17" s="1"/>
      <c r="S17" s="1"/>
      <c r="T17" s="56"/>
      <c r="V17" s="55"/>
      <c r="W17" s="1"/>
      <c r="X17" s="1"/>
      <c r="Y17" s="56"/>
      <c r="AE17" s="126"/>
      <c r="AF17" s="127"/>
      <c r="AG17" s="127"/>
      <c r="AH17" s="128"/>
      <c r="AI17" s="126"/>
      <c r="AJ17" s="127"/>
      <c r="AK17" s="127"/>
      <c r="AL17" s="128"/>
      <c r="AN17" s="126"/>
      <c r="AO17" s="128"/>
      <c r="AP17" s="126"/>
      <c r="AQ17" s="128"/>
      <c r="AR17" s="126"/>
      <c r="AS17" s="128"/>
      <c r="AT17" s="126"/>
      <c r="AU17" s="128"/>
      <c r="AY17" s="126"/>
      <c r="AZ17" s="128"/>
      <c r="BA17" s="126"/>
      <c r="BB17" s="128"/>
    </row>
    <row r="18" spans="1:54" x14ac:dyDescent="0.2">
      <c r="C18" s="55"/>
      <c r="D18" s="1"/>
      <c r="E18" s="1"/>
      <c r="F18" s="56"/>
      <c r="Q18" s="55"/>
      <c r="R18" s="1"/>
      <c r="S18" s="1"/>
      <c r="T18" s="56"/>
      <c r="V18" s="55"/>
      <c r="W18" s="1"/>
      <c r="X18" s="1"/>
      <c r="Y18" s="56"/>
      <c r="AE18" s="129">
        <v>1</v>
      </c>
      <c r="AF18" s="133"/>
      <c r="AG18" s="133"/>
      <c r="AH18" s="130"/>
      <c r="AI18" s="129">
        <v>3</v>
      </c>
      <c r="AJ18" s="133"/>
      <c r="AK18" s="133"/>
      <c r="AL18" s="130"/>
      <c r="AN18" s="129">
        <v>4</v>
      </c>
      <c r="AO18" s="130"/>
      <c r="AP18" s="129">
        <v>5</v>
      </c>
      <c r="AQ18" s="130"/>
      <c r="AR18" s="129">
        <v>12</v>
      </c>
      <c r="AS18" s="130"/>
      <c r="AT18" s="129">
        <v>13</v>
      </c>
      <c r="AU18" s="130"/>
      <c r="AY18" s="129">
        <v>2</v>
      </c>
      <c r="AZ18" s="130"/>
      <c r="BA18" s="129">
        <v>3</v>
      </c>
      <c r="BB18" s="130"/>
    </row>
    <row r="19" spans="1:54" ht="15" thickBot="1" x14ac:dyDescent="0.25">
      <c r="C19" s="55"/>
      <c r="D19" s="1"/>
      <c r="E19" s="1"/>
      <c r="F19" s="56"/>
      <c r="Q19" s="55"/>
      <c r="R19" s="1"/>
      <c r="S19" s="1"/>
      <c r="T19" s="56"/>
      <c r="V19" s="55"/>
      <c r="W19" s="1"/>
      <c r="X19" s="1"/>
      <c r="Y19" s="56"/>
      <c r="AE19" s="131"/>
      <c r="AF19" s="134"/>
      <c r="AG19" s="134"/>
      <c r="AH19" s="132"/>
      <c r="AI19" s="131"/>
      <c r="AJ19" s="134"/>
      <c r="AK19" s="134"/>
      <c r="AL19" s="132"/>
      <c r="AN19" s="126"/>
      <c r="AO19" s="128"/>
      <c r="AP19" s="126"/>
      <c r="AQ19" s="128"/>
      <c r="AR19" s="126"/>
      <c r="AS19" s="128"/>
      <c r="AT19" s="126"/>
      <c r="AU19" s="128"/>
      <c r="AY19" s="131"/>
      <c r="AZ19" s="132"/>
      <c r="BA19" s="131"/>
      <c r="BB19" s="132"/>
    </row>
    <row r="20" spans="1:54" ht="15" thickBot="1" x14ac:dyDescent="0.25">
      <c r="C20" s="123">
        <v>15</v>
      </c>
      <c r="D20" s="124"/>
      <c r="E20" s="124"/>
      <c r="F20" s="125"/>
      <c r="Q20" s="123">
        <v>15</v>
      </c>
      <c r="R20" s="124"/>
      <c r="S20" s="124"/>
      <c r="T20" s="125"/>
      <c r="V20" s="123">
        <v>15</v>
      </c>
      <c r="W20" s="124"/>
      <c r="X20" s="124"/>
      <c r="Y20" s="125"/>
      <c r="AE20" s="131"/>
      <c r="AF20" s="134"/>
      <c r="AG20" s="134"/>
      <c r="AH20" s="132"/>
      <c r="AI20" s="131"/>
      <c r="AJ20" s="134"/>
      <c r="AK20" s="134"/>
      <c r="AL20" s="132"/>
      <c r="AN20" s="129">
        <v>6</v>
      </c>
      <c r="AO20" s="130"/>
      <c r="AP20" s="129">
        <v>7</v>
      </c>
      <c r="AQ20" s="130"/>
      <c r="AR20" s="129">
        <v>14</v>
      </c>
      <c r="AS20" s="130"/>
      <c r="AT20" s="129">
        <v>15</v>
      </c>
      <c r="AU20" s="130"/>
      <c r="AY20" s="131"/>
      <c r="AZ20" s="132"/>
      <c r="BA20" s="131"/>
      <c r="BB20" s="132"/>
    </row>
    <row r="21" spans="1:54" x14ac:dyDescent="0.2">
      <c r="AE21" s="131"/>
      <c r="AF21" s="134"/>
      <c r="AG21" s="134"/>
      <c r="AH21" s="132"/>
      <c r="AI21" s="131"/>
      <c r="AJ21" s="134"/>
      <c r="AK21" s="134"/>
      <c r="AL21" s="132"/>
      <c r="AN21" s="131"/>
      <c r="AO21" s="132"/>
      <c r="AP21" s="131"/>
      <c r="AQ21" s="132"/>
      <c r="AR21" s="131"/>
      <c r="AS21" s="132"/>
      <c r="AT21" s="131"/>
      <c r="AU21" s="132"/>
      <c r="AY21" s="131"/>
      <c r="AZ21" s="132"/>
      <c r="BA21" s="131"/>
      <c r="BB21" s="132"/>
    </row>
    <row r="22" spans="1:54" ht="15" thickBot="1" x14ac:dyDescent="0.25">
      <c r="A22" t="s">
        <v>267</v>
      </c>
      <c r="O22" t="s">
        <v>272</v>
      </c>
      <c r="AE22" s="126"/>
      <c r="AF22" s="127"/>
      <c r="AG22" s="127"/>
      <c r="AH22" s="128"/>
      <c r="AI22" s="126"/>
      <c r="AJ22" s="127"/>
      <c r="AK22" s="127"/>
      <c r="AL22" s="128"/>
      <c r="AN22" s="126"/>
      <c r="AO22" s="128"/>
      <c r="AP22" s="126"/>
      <c r="AQ22" s="128"/>
      <c r="AR22" s="126"/>
      <c r="AS22" s="128"/>
      <c r="AT22" s="126"/>
      <c r="AU22" s="128"/>
      <c r="AY22" s="126"/>
      <c r="AZ22" s="128"/>
      <c r="BA22" s="126"/>
      <c r="BB22" s="128"/>
    </row>
    <row r="23" spans="1:54" ht="15" thickBot="1" x14ac:dyDescent="0.25">
      <c r="A23" t="s">
        <v>291</v>
      </c>
      <c r="C23" t="s">
        <v>497</v>
      </c>
      <c r="O23" t="s">
        <v>286</v>
      </c>
      <c r="Q23" t="s">
        <v>497</v>
      </c>
    </row>
    <row r="24" spans="1:54" ht="15" thickBot="1" x14ac:dyDescent="0.25">
      <c r="C24" s="123" t="s">
        <v>292</v>
      </c>
      <c r="D24" s="124"/>
      <c r="E24" s="124"/>
      <c r="F24" s="125"/>
      <c r="G24" s="123" t="s">
        <v>293</v>
      </c>
      <c r="H24" s="124"/>
      <c r="I24" s="124"/>
      <c r="J24" s="125"/>
      <c r="Q24" s="123" t="s">
        <v>296</v>
      </c>
      <c r="R24" s="124"/>
      <c r="S24" s="124"/>
      <c r="T24" s="125"/>
      <c r="U24" s="123" t="s">
        <v>297</v>
      </c>
      <c r="V24" s="124"/>
      <c r="W24" s="124"/>
      <c r="X24" s="125"/>
    </row>
    <row r="25" spans="1:54" ht="15" thickBot="1" x14ac:dyDescent="0.25">
      <c r="C25" s="123">
        <v>1</v>
      </c>
      <c r="D25" s="124"/>
      <c r="E25" s="124"/>
      <c r="F25" s="125"/>
      <c r="G25" s="55"/>
      <c r="H25" s="1"/>
      <c r="I25" s="1"/>
      <c r="J25" s="56"/>
      <c r="Q25" s="123">
        <v>1</v>
      </c>
      <c r="R25" s="124"/>
      <c r="S25" s="124"/>
      <c r="T25" s="125"/>
      <c r="U25" s="55"/>
      <c r="V25" s="1"/>
      <c r="W25" s="1"/>
      <c r="X25" s="56"/>
    </row>
    <row r="26" spans="1:54" ht="15" thickBot="1" x14ac:dyDescent="0.25">
      <c r="C26" s="123">
        <v>2</v>
      </c>
      <c r="D26" s="124"/>
      <c r="E26" s="124"/>
      <c r="F26" s="125"/>
      <c r="G26" s="55"/>
      <c r="H26" s="1"/>
      <c r="I26" s="1"/>
      <c r="J26" s="56"/>
      <c r="Q26" s="123">
        <v>2</v>
      </c>
      <c r="R26" s="124"/>
      <c r="S26" s="124"/>
      <c r="T26" s="125"/>
      <c r="U26" s="55"/>
      <c r="V26" s="1"/>
      <c r="W26" s="1"/>
      <c r="X26" s="56"/>
    </row>
    <row r="27" spans="1:54" ht="15" thickBot="1" x14ac:dyDescent="0.25">
      <c r="C27" s="123">
        <v>3</v>
      </c>
      <c r="D27" s="124"/>
      <c r="E27" s="124"/>
      <c r="F27" s="125"/>
      <c r="G27" s="55"/>
      <c r="H27" s="1"/>
      <c r="I27" s="1"/>
      <c r="J27" s="56"/>
      <c r="Q27" s="123">
        <v>3</v>
      </c>
      <c r="R27" s="124"/>
      <c r="S27" s="124"/>
      <c r="T27" s="125"/>
      <c r="U27" s="55"/>
      <c r="V27" s="1"/>
      <c r="W27" s="1"/>
      <c r="X27" s="56"/>
    </row>
    <row r="28" spans="1:54" x14ac:dyDescent="0.2">
      <c r="C28" s="55"/>
      <c r="D28" s="1"/>
      <c r="E28" s="1"/>
      <c r="F28" s="56"/>
      <c r="G28" s="55"/>
      <c r="H28" s="1"/>
      <c r="I28" s="1"/>
      <c r="J28" s="56"/>
      <c r="Q28" s="55"/>
      <c r="R28" s="1"/>
      <c r="S28" s="1"/>
      <c r="T28" s="56"/>
      <c r="U28" s="55"/>
      <c r="V28" s="1"/>
      <c r="W28" s="1"/>
      <c r="X28" s="56"/>
    </row>
    <row r="29" spans="1:54" x14ac:dyDescent="0.2">
      <c r="C29" s="55"/>
      <c r="D29" s="1"/>
      <c r="E29" s="1"/>
      <c r="F29" s="56"/>
      <c r="G29" s="55"/>
      <c r="H29" s="1"/>
      <c r="I29" s="1"/>
      <c r="J29" s="56"/>
      <c r="Q29" s="55"/>
      <c r="R29" s="1"/>
      <c r="S29" s="1"/>
      <c r="T29" s="56"/>
      <c r="U29" s="55"/>
      <c r="V29" s="1"/>
      <c r="W29" s="1"/>
      <c r="X29" s="56"/>
    </row>
    <row r="30" spans="1:54" ht="15" thickBot="1" x14ac:dyDescent="0.25">
      <c r="C30" s="55"/>
      <c r="D30" s="1"/>
      <c r="E30" s="1"/>
      <c r="F30" s="56"/>
      <c r="G30" s="55"/>
      <c r="H30" s="1"/>
      <c r="I30" s="1"/>
      <c r="J30" s="56"/>
      <c r="Q30" s="55"/>
      <c r="R30" s="1"/>
      <c r="S30" s="1"/>
      <c r="T30" s="56"/>
      <c r="U30" s="55"/>
      <c r="V30" s="1"/>
      <c r="W30" s="1"/>
      <c r="X30" s="56"/>
    </row>
    <row r="31" spans="1:54" ht="15" thickBot="1" x14ac:dyDescent="0.25">
      <c r="C31" s="123">
        <v>31</v>
      </c>
      <c r="D31" s="124"/>
      <c r="E31" s="124"/>
      <c r="F31" s="125"/>
      <c r="G31" s="126">
        <v>63</v>
      </c>
      <c r="H31" s="127"/>
      <c r="I31" s="127"/>
      <c r="J31" s="128"/>
      <c r="Q31" s="123">
        <v>15</v>
      </c>
      <c r="R31" s="124"/>
      <c r="S31" s="124"/>
      <c r="T31" s="125"/>
      <c r="U31" s="126">
        <v>31</v>
      </c>
      <c r="V31" s="127"/>
      <c r="W31" s="127"/>
      <c r="X31" s="128"/>
    </row>
    <row r="33" spans="1:22" ht="15" thickBot="1" x14ac:dyDescent="0.25">
      <c r="C33" s="60" t="s">
        <v>304</v>
      </c>
      <c r="Q33" s="60" t="s">
        <v>304</v>
      </c>
    </row>
    <row r="34" spans="1:22" ht="15" thickBot="1" x14ac:dyDescent="0.25">
      <c r="C34" s="123" t="s">
        <v>292</v>
      </c>
      <c r="D34" s="124"/>
      <c r="E34" s="124"/>
      <c r="F34" s="125"/>
      <c r="G34" s="123" t="s">
        <v>309</v>
      </c>
      <c r="H34" s="124"/>
      <c r="I34" s="124"/>
      <c r="J34" s="125"/>
      <c r="Q34" s="123" t="s">
        <v>292</v>
      </c>
      <c r="R34" s="124"/>
      <c r="S34" s="124"/>
      <c r="T34" s="125"/>
    </row>
    <row r="35" spans="1:22" ht="15" thickBot="1" x14ac:dyDescent="0.25">
      <c r="C35" s="123">
        <v>2</v>
      </c>
      <c r="D35" s="124"/>
      <c r="E35" s="124"/>
      <c r="F35" s="125"/>
      <c r="G35" s="123">
        <v>3</v>
      </c>
      <c r="H35" s="124"/>
      <c r="I35" s="124"/>
      <c r="J35" s="125"/>
      <c r="Q35" s="129">
        <v>1</v>
      </c>
      <c r="R35" s="133"/>
      <c r="S35" s="133"/>
      <c r="T35" s="130"/>
    </row>
    <row r="36" spans="1:22" ht="15" thickBot="1" x14ac:dyDescent="0.25">
      <c r="C36" s="123"/>
      <c r="D36" s="124"/>
      <c r="E36" s="124"/>
      <c r="F36" s="125"/>
      <c r="G36" s="55"/>
      <c r="H36" s="1"/>
      <c r="I36" s="1"/>
      <c r="J36" s="56"/>
      <c r="Q36" s="55"/>
      <c r="R36" s="1"/>
      <c r="S36" s="1"/>
      <c r="T36" s="56"/>
    </row>
    <row r="37" spans="1:22" ht="15" thickBot="1" x14ac:dyDescent="0.25">
      <c r="C37" s="123"/>
      <c r="D37" s="124"/>
      <c r="E37" s="124"/>
      <c r="F37" s="125"/>
      <c r="G37" s="55"/>
      <c r="H37" s="1"/>
      <c r="I37" s="1"/>
      <c r="J37" s="56"/>
      <c r="Q37" s="55"/>
      <c r="R37" s="1"/>
      <c r="S37" s="1"/>
      <c r="T37" s="56"/>
    </row>
    <row r="38" spans="1:22" x14ac:dyDescent="0.2">
      <c r="C38" s="55"/>
      <c r="D38" s="1"/>
      <c r="E38" s="1"/>
      <c r="F38" s="56"/>
      <c r="G38" s="55"/>
      <c r="H38" s="1"/>
      <c r="I38" s="1"/>
      <c r="J38" s="56"/>
      <c r="Q38" s="55"/>
      <c r="R38" s="1"/>
      <c r="S38" s="1"/>
      <c r="T38" s="56"/>
    </row>
    <row r="39" spans="1:22" x14ac:dyDescent="0.2">
      <c r="C39" s="55"/>
      <c r="D39" s="1"/>
      <c r="E39" s="1"/>
      <c r="F39" s="56"/>
      <c r="G39" s="55"/>
      <c r="H39" s="1"/>
      <c r="I39" s="1"/>
      <c r="J39" s="56"/>
      <c r="Q39" s="55"/>
      <c r="R39" s="1"/>
      <c r="S39" s="1"/>
      <c r="T39" s="56"/>
    </row>
    <row r="40" spans="1:22" ht="15" thickBot="1" x14ac:dyDescent="0.25">
      <c r="C40" s="55"/>
      <c r="D40" s="1"/>
      <c r="E40" s="1"/>
      <c r="F40" s="56"/>
      <c r="G40" s="55"/>
      <c r="H40" s="1"/>
      <c r="I40" s="1"/>
      <c r="J40" s="56"/>
      <c r="Q40" s="55"/>
      <c r="R40" s="1"/>
      <c r="S40" s="1"/>
      <c r="T40" s="56"/>
    </row>
    <row r="41" spans="1:22" ht="15" thickBot="1" x14ac:dyDescent="0.25">
      <c r="C41" s="123">
        <v>62</v>
      </c>
      <c r="D41" s="124"/>
      <c r="E41" s="124"/>
      <c r="F41" s="125"/>
      <c r="G41" s="126">
        <v>63</v>
      </c>
      <c r="H41" s="127"/>
      <c r="I41" s="127"/>
      <c r="J41" s="128"/>
      <c r="Q41" s="123">
        <v>15</v>
      </c>
      <c r="R41" s="124"/>
      <c r="S41" s="124"/>
      <c r="T41" s="125"/>
    </row>
    <row r="42" spans="1:22" x14ac:dyDescent="0.2">
      <c r="C42" s="89"/>
      <c r="D42" s="89"/>
      <c r="E42" s="89"/>
      <c r="F42" s="89"/>
      <c r="G42" s="89"/>
      <c r="H42" s="89"/>
      <c r="I42" s="89"/>
      <c r="J42" s="89"/>
      <c r="Q42" s="89"/>
      <c r="R42" s="89"/>
      <c r="S42" s="89"/>
      <c r="T42" s="89"/>
    </row>
    <row r="46" spans="1:22" x14ac:dyDescent="0.2">
      <c r="A46" t="s">
        <v>267</v>
      </c>
      <c r="O46" t="s">
        <v>272</v>
      </c>
    </row>
    <row r="47" spans="1:22" ht="15" thickBot="1" x14ac:dyDescent="0.25">
      <c r="A47" t="s">
        <v>305</v>
      </c>
      <c r="C47" t="s">
        <v>306</v>
      </c>
      <c r="O47" t="s">
        <v>307</v>
      </c>
      <c r="Q47" t="s">
        <v>308</v>
      </c>
    </row>
    <row r="48" spans="1:22" x14ac:dyDescent="0.2">
      <c r="C48" s="83"/>
      <c r="D48" s="93"/>
      <c r="E48" s="93"/>
      <c r="F48" s="84"/>
      <c r="G48" s="83"/>
      <c r="H48" s="93"/>
      <c r="I48" s="93"/>
      <c r="J48" s="84"/>
      <c r="O48" s="83"/>
      <c r="P48" s="93"/>
      <c r="Q48" s="93"/>
      <c r="R48" s="84"/>
      <c r="S48" s="83"/>
      <c r="T48" s="93"/>
      <c r="U48" s="93"/>
      <c r="V48" s="84"/>
    </row>
    <row r="49" spans="3:22" x14ac:dyDescent="0.2">
      <c r="C49" s="55"/>
      <c r="D49" s="1"/>
      <c r="E49" s="1"/>
      <c r="F49" s="56"/>
      <c r="G49" s="55"/>
      <c r="H49" s="1"/>
      <c r="I49" s="1"/>
      <c r="J49" s="56"/>
      <c r="O49" s="55"/>
      <c r="P49" s="1"/>
      <c r="Q49" s="1"/>
      <c r="R49" s="56"/>
      <c r="S49" s="55"/>
      <c r="T49" s="1"/>
      <c r="U49" s="1"/>
      <c r="V49" s="56"/>
    </row>
    <row r="50" spans="3:22" x14ac:dyDescent="0.2">
      <c r="C50" s="55"/>
      <c r="D50" s="1"/>
      <c r="E50" s="1"/>
      <c r="F50" s="56"/>
      <c r="G50" s="55"/>
      <c r="H50" s="1"/>
      <c r="I50" s="1"/>
      <c r="J50" s="56"/>
      <c r="O50" s="55"/>
      <c r="P50" s="1"/>
      <c r="Q50" s="1"/>
      <c r="R50" s="56"/>
      <c r="S50" s="55"/>
      <c r="T50" s="1"/>
      <c r="U50" s="1"/>
      <c r="V50" s="56"/>
    </row>
    <row r="51" spans="3:22" x14ac:dyDescent="0.2">
      <c r="C51" s="55"/>
      <c r="D51" s="1">
        <v>0</v>
      </c>
      <c r="E51" s="1"/>
      <c r="F51" s="56"/>
      <c r="G51" s="55"/>
      <c r="H51" s="1">
        <v>1</v>
      </c>
      <c r="I51" s="1"/>
      <c r="J51" s="56"/>
      <c r="O51" s="55"/>
      <c r="P51" s="1">
        <v>0</v>
      </c>
      <c r="Q51" s="1"/>
      <c r="R51" s="56"/>
      <c r="S51" s="55"/>
      <c r="T51" s="1">
        <v>1</v>
      </c>
      <c r="U51" s="1"/>
      <c r="V51" s="56"/>
    </row>
    <row r="52" spans="3:22" x14ac:dyDescent="0.2">
      <c r="C52" s="55"/>
      <c r="D52" s="1"/>
      <c r="E52" s="1"/>
      <c r="F52" s="56"/>
      <c r="G52" s="55"/>
      <c r="H52" s="1"/>
      <c r="I52" s="1"/>
      <c r="J52" s="56"/>
      <c r="O52" s="55"/>
      <c r="P52" s="1"/>
      <c r="Q52" s="1"/>
      <c r="R52" s="56"/>
      <c r="S52" s="55"/>
      <c r="T52" s="1"/>
      <c r="U52" s="1"/>
      <c r="V52" s="56"/>
    </row>
    <row r="53" spans="3:22" x14ac:dyDescent="0.2">
      <c r="C53" s="55"/>
      <c r="D53" s="1"/>
      <c r="E53" s="1"/>
      <c r="F53" s="56"/>
      <c r="G53" s="55"/>
      <c r="H53" s="1"/>
      <c r="I53" s="1"/>
      <c r="J53" s="56"/>
      <c r="O53" s="55"/>
      <c r="P53" s="1"/>
      <c r="Q53" s="1"/>
      <c r="R53" s="56"/>
      <c r="S53" s="55"/>
      <c r="T53" s="1"/>
      <c r="U53" s="1"/>
      <c r="V53" s="56"/>
    </row>
    <row r="54" spans="3:22" ht="15" thickBot="1" x14ac:dyDescent="0.25">
      <c r="C54" s="57"/>
      <c r="D54" s="58"/>
      <c r="E54" s="58"/>
      <c r="F54" s="59"/>
      <c r="G54" s="57"/>
      <c r="H54" s="58"/>
      <c r="I54" s="58"/>
      <c r="J54" s="59"/>
      <c r="O54" s="57"/>
      <c r="P54" s="58"/>
      <c r="Q54" s="58"/>
      <c r="R54" s="59"/>
      <c r="S54" s="57"/>
      <c r="T54" s="58"/>
      <c r="U54" s="58"/>
      <c r="V54" s="59"/>
    </row>
    <row r="55" spans="3:22" x14ac:dyDescent="0.2">
      <c r="C55" s="83"/>
      <c r="D55" s="93"/>
      <c r="E55" s="93"/>
      <c r="F55" s="84"/>
      <c r="G55" s="83"/>
      <c r="H55" s="93"/>
      <c r="I55" s="93"/>
      <c r="J55" s="84"/>
      <c r="O55" s="83"/>
      <c r="P55" s="93"/>
      <c r="Q55" s="93"/>
      <c r="R55" s="84"/>
      <c r="S55" s="83"/>
      <c r="T55" s="93"/>
      <c r="U55" s="93"/>
      <c r="V55" s="84"/>
    </row>
    <row r="56" spans="3:22" x14ac:dyDescent="0.2">
      <c r="C56" s="55"/>
      <c r="D56" s="1"/>
      <c r="E56" s="1"/>
      <c r="F56" s="56"/>
      <c r="G56" s="55"/>
      <c r="H56" s="1"/>
      <c r="I56" s="1"/>
      <c r="J56" s="56"/>
      <c r="O56" s="55"/>
      <c r="P56" s="1"/>
      <c r="Q56" s="1"/>
      <c r="R56" s="56"/>
      <c r="S56" s="55"/>
      <c r="T56" s="1"/>
      <c r="U56" s="1"/>
      <c r="V56" s="56"/>
    </row>
    <row r="57" spans="3:22" x14ac:dyDescent="0.2">
      <c r="C57" s="55"/>
      <c r="D57" s="1"/>
      <c r="E57" s="1"/>
      <c r="F57" s="56"/>
      <c r="G57" s="55"/>
      <c r="H57" s="1"/>
      <c r="I57" s="1"/>
      <c r="J57" s="56"/>
      <c r="O57" s="55"/>
      <c r="P57" s="1"/>
      <c r="Q57" s="1"/>
      <c r="R57" s="56"/>
      <c r="S57" s="55"/>
      <c r="T57" s="1"/>
      <c r="U57" s="1"/>
      <c r="V57" s="56"/>
    </row>
    <row r="58" spans="3:22" x14ac:dyDescent="0.2">
      <c r="C58" s="55"/>
      <c r="D58" s="1">
        <v>2</v>
      </c>
      <c r="E58" s="1"/>
      <c r="F58" s="56"/>
      <c r="G58" s="55"/>
      <c r="H58" s="1">
        <v>3</v>
      </c>
      <c r="I58" s="1"/>
      <c r="J58" s="56"/>
      <c r="O58" s="55"/>
      <c r="P58" s="1">
        <v>2</v>
      </c>
      <c r="Q58" s="1"/>
      <c r="R58" s="56"/>
      <c r="S58" s="55"/>
      <c r="T58" s="1">
        <v>3</v>
      </c>
      <c r="U58" s="1"/>
      <c r="V58" s="56"/>
    </row>
    <row r="59" spans="3:22" x14ac:dyDescent="0.2">
      <c r="C59" s="55"/>
      <c r="D59" s="1"/>
      <c r="E59" s="1"/>
      <c r="F59" s="56"/>
      <c r="G59" s="55"/>
      <c r="H59" s="1"/>
      <c r="I59" s="1"/>
      <c r="J59" s="56"/>
      <c r="O59" s="55"/>
      <c r="P59" s="1"/>
      <c r="Q59" s="1"/>
      <c r="R59" s="56"/>
      <c r="S59" s="55"/>
      <c r="T59" s="1"/>
      <c r="U59" s="1"/>
      <c r="V59" s="56"/>
    </row>
    <row r="60" spans="3:22" x14ac:dyDescent="0.2">
      <c r="C60" s="55"/>
      <c r="D60" s="1"/>
      <c r="E60" s="1"/>
      <c r="F60" s="56"/>
      <c r="G60" s="55"/>
      <c r="H60" s="1"/>
      <c r="I60" s="1"/>
      <c r="J60" s="56"/>
      <c r="O60" s="55"/>
      <c r="P60" s="1"/>
      <c r="Q60" s="1"/>
      <c r="R60" s="56"/>
      <c r="S60" s="55"/>
      <c r="T60" s="1"/>
      <c r="U60" s="1"/>
      <c r="V60" s="56"/>
    </row>
    <row r="61" spans="3:22" ht="15" thickBot="1" x14ac:dyDescent="0.25">
      <c r="C61" s="57"/>
      <c r="D61" s="58"/>
      <c r="E61" s="58"/>
      <c r="F61" s="59"/>
      <c r="G61" s="57"/>
      <c r="H61" s="58"/>
      <c r="I61" s="58"/>
      <c r="J61" s="59"/>
      <c r="O61" s="57"/>
      <c r="P61" s="58"/>
      <c r="Q61" s="58"/>
      <c r="R61" s="59"/>
      <c r="S61" s="57"/>
      <c r="T61" s="58"/>
      <c r="U61" s="58"/>
      <c r="V61" s="59"/>
    </row>
  </sheetData>
  <mergeCells count="78">
    <mergeCell ref="AE14:AH17"/>
    <mergeCell ref="AI14:AL17"/>
    <mergeCell ref="AE18:AH22"/>
    <mergeCell ref="AI18:AL22"/>
    <mergeCell ref="C3:F4"/>
    <mergeCell ref="C13:F13"/>
    <mergeCell ref="H3:I6"/>
    <mergeCell ref="H7:I10"/>
    <mergeCell ref="J3:K6"/>
    <mergeCell ref="C5:F6"/>
    <mergeCell ref="C7:F8"/>
    <mergeCell ref="J7:K10"/>
    <mergeCell ref="V14:Y14"/>
    <mergeCell ref="V15:Y15"/>
    <mergeCell ref="V16:Y16"/>
    <mergeCell ref="V20:Y20"/>
    <mergeCell ref="Q15:T15"/>
    <mergeCell ref="AP16:AQ17"/>
    <mergeCell ref="Q20:T20"/>
    <mergeCell ref="V13:Y13"/>
    <mergeCell ref="C31:F31"/>
    <mergeCell ref="G31:J31"/>
    <mergeCell ref="Q26:T26"/>
    <mergeCell ref="Q27:T27"/>
    <mergeCell ref="Q31:T31"/>
    <mergeCell ref="C27:F27"/>
    <mergeCell ref="C24:F24"/>
    <mergeCell ref="G24:J24"/>
    <mergeCell ref="C14:F14"/>
    <mergeCell ref="C25:F25"/>
    <mergeCell ref="C26:F26"/>
    <mergeCell ref="C20:F20"/>
    <mergeCell ref="A1:Z1"/>
    <mergeCell ref="AC1:AV1"/>
    <mergeCell ref="AE4:AF7"/>
    <mergeCell ref="AG4:AH7"/>
    <mergeCell ref="AE8:AF11"/>
    <mergeCell ref="AG8:AH11"/>
    <mergeCell ref="AN4:AO7"/>
    <mergeCell ref="AE13:AH13"/>
    <mergeCell ref="Q16:T16"/>
    <mergeCell ref="Q41:T41"/>
    <mergeCell ref="AN13:AQ13"/>
    <mergeCell ref="AN16:AO17"/>
    <mergeCell ref="AN18:AO19"/>
    <mergeCell ref="AP18:AQ19"/>
    <mergeCell ref="AN20:AO22"/>
    <mergeCell ref="AP20:AQ22"/>
    <mergeCell ref="AN14:AO15"/>
    <mergeCell ref="U31:X31"/>
    <mergeCell ref="Q24:T24"/>
    <mergeCell ref="U24:X24"/>
    <mergeCell ref="Q25:T25"/>
    <mergeCell ref="Q13:T13"/>
    <mergeCell ref="Q14:T14"/>
    <mergeCell ref="AY14:AZ17"/>
    <mergeCell ref="BA14:BB17"/>
    <mergeCell ref="AY18:AZ22"/>
    <mergeCell ref="BA18:BB22"/>
    <mergeCell ref="G35:J35"/>
    <mergeCell ref="Q34:T34"/>
    <mergeCell ref="Q35:T35"/>
    <mergeCell ref="AT14:AU15"/>
    <mergeCell ref="AR16:AS17"/>
    <mergeCell ref="AT16:AU17"/>
    <mergeCell ref="AR18:AS19"/>
    <mergeCell ref="AT18:AU19"/>
    <mergeCell ref="AT20:AU22"/>
    <mergeCell ref="AR20:AS22"/>
    <mergeCell ref="AR14:AS15"/>
    <mergeCell ref="AP14:AQ15"/>
    <mergeCell ref="C35:F35"/>
    <mergeCell ref="G34:J34"/>
    <mergeCell ref="C34:F34"/>
    <mergeCell ref="C41:F41"/>
    <mergeCell ref="G41:J41"/>
    <mergeCell ref="C37:F37"/>
    <mergeCell ref="C36:F36"/>
  </mergeCells>
  <phoneticPr fontId="1" type="noConversion"/>
  <pageMargins left="0.7" right="0.7" top="0.75" bottom="0.75" header="0.3" footer="0.3"/>
  <pageSetup paperSiz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F07-9C06-44AB-97DD-D040F2BA4086}">
  <dimension ref="A1:P26"/>
  <sheetViews>
    <sheetView zoomScaleNormal="100" workbookViewId="0">
      <selection activeCell="E29" sqref="E29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208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220</v>
      </c>
      <c r="B5">
        <v>0</v>
      </c>
      <c r="C5">
        <f t="shared" ref="C5:F6" si="0">B5+I$11</f>
        <v>2</v>
      </c>
      <c r="D5">
        <f t="shared" si="0"/>
        <v>15</v>
      </c>
      <c r="E5">
        <f t="shared" si="0"/>
        <v>23</v>
      </c>
      <c r="F5">
        <f t="shared" si="0"/>
        <v>27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221</v>
      </c>
      <c r="B6">
        <f>D5-2</f>
        <v>13</v>
      </c>
      <c r="C6">
        <f t="shared" si="0"/>
        <v>15</v>
      </c>
      <c r="D6">
        <f t="shared" si="0"/>
        <v>28</v>
      </c>
      <c r="E6">
        <f t="shared" si="0"/>
        <v>36</v>
      </c>
      <c r="F6">
        <f t="shared" si="0"/>
        <v>40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467</v>
      </c>
      <c r="C7">
        <f>F6</f>
        <v>40</v>
      </c>
      <c r="D7">
        <f>C7+N$5</f>
        <v>40</v>
      </c>
      <c r="E7">
        <f>D7+O$5</f>
        <v>52</v>
      </c>
      <c r="F7">
        <f t="shared" ref="F7" si="1">E7+P$5</f>
        <v>52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O7">
        <f>v0!Q81</f>
        <v>12</v>
      </c>
      <c r="P7">
        <f>v0!R81</f>
        <v>0</v>
      </c>
    </row>
    <row r="8" spans="1:16" x14ac:dyDescent="0.2">
      <c r="A8" t="s">
        <v>210</v>
      </c>
      <c r="C8">
        <f>F7</f>
        <v>52</v>
      </c>
      <c r="D8">
        <f>C8+I$3</f>
        <v>53</v>
      </c>
      <c r="E8">
        <f t="shared" ref="E8:F8" si="2">D8+J$3</f>
        <v>54</v>
      </c>
      <c r="F8">
        <f t="shared" si="2"/>
        <v>57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222</v>
      </c>
      <c r="B9">
        <f>F8</f>
        <v>57</v>
      </c>
      <c r="C9">
        <f>B9+I$11</f>
        <v>59</v>
      </c>
      <c r="D9">
        <f t="shared" ref="D9:F9" si="3">C9+J$11</f>
        <v>72</v>
      </c>
      <c r="E9">
        <f t="shared" si="3"/>
        <v>80</v>
      </c>
      <c r="F9">
        <f t="shared" si="3"/>
        <v>84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468</v>
      </c>
      <c r="C10">
        <f>F9</f>
        <v>84</v>
      </c>
      <c r="D10">
        <f>C10+N$5</f>
        <v>84</v>
      </c>
      <c r="E10">
        <f>D10+O$5</f>
        <v>96</v>
      </c>
      <c r="F10">
        <f t="shared" ref="F10" si="4">E10+P$5</f>
        <v>96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210</v>
      </c>
      <c r="C11">
        <f>F10</f>
        <v>96</v>
      </c>
      <c r="D11">
        <f>C11+I$3</f>
        <v>97</v>
      </c>
      <c r="E11">
        <f>D11+J$3</f>
        <v>98</v>
      </c>
      <c r="F11">
        <f>E11+K$3</f>
        <v>101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223</v>
      </c>
      <c r="B12">
        <f>F11</f>
        <v>101</v>
      </c>
      <c r="C12">
        <f>B12+I$11</f>
        <v>103</v>
      </c>
      <c r="D12">
        <f>C12+J$11</f>
        <v>116</v>
      </c>
      <c r="E12">
        <f>D12+K$11</f>
        <v>124</v>
      </c>
      <c r="F12">
        <f>E12+L$11</f>
        <v>128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468</v>
      </c>
      <c r="C13">
        <f>F12</f>
        <v>128</v>
      </c>
      <c r="D13">
        <f>C13+N$5</f>
        <v>128</v>
      </c>
      <c r="E13">
        <f>D13+O$5</f>
        <v>140</v>
      </c>
      <c r="F13">
        <f t="shared" ref="F13" si="5">E13+P$5</f>
        <v>140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210</v>
      </c>
      <c r="C14">
        <f>F13</f>
        <v>140</v>
      </c>
      <c r="D14">
        <f>C14+I$3</f>
        <v>141</v>
      </c>
      <c r="E14">
        <f>D14+J$3</f>
        <v>142</v>
      </c>
      <c r="F14">
        <f>E14+K$3</f>
        <v>145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224</v>
      </c>
      <c r="B15">
        <f>F14</f>
        <v>145</v>
      </c>
      <c r="C15">
        <f>B15+I$11</f>
        <v>147</v>
      </c>
      <c r="D15">
        <f>C15+J$11</f>
        <v>160</v>
      </c>
      <c r="E15">
        <f>D15+K$11</f>
        <v>168</v>
      </c>
      <c r="F15">
        <f>E15+L$11</f>
        <v>172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468</v>
      </c>
      <c r="C16">
        <f>F15</f>
        <v>172</v>
      </c>
      <c r="D16">
        <f>C16+N$5</f>
        <v>172</v>
      </c>
      <c r="E16">
        <f>D16+O$5</f>
        <v>184</v>
      </c>
      <c r="F16">
        <f t="shared" ref="F16" si="6">E16+P$5</f>
        <v>184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210</v>
      </c>
      <c r="C17">
        <f>F16</f>
        <v>184</v>
      </c>
      <c r="D17">
        <f>C17+I$3</f>
        <v>185</v>
      </c>
      <c r="E17">
        <f>D17+J$3</f>
        <v>186</v>
      </c>
      <c r="F17">
        <f>E17+K$3</f>
        <v>189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225</v>
      </c>
      <c r="B18" s="42">
        <f>B9-J$11</f>
        <v>44</v>
      </c>
      <c r="C18">
        <f t="shared" ref="C18:F20" si="7">B18+I$11</f>
        <v>46</v>
      </c>
      <c r="D18">
        <f t="shared" si="7"/>
        <v>59</v>
      </c>
      <c r="E18">
        <f t="shared" si="7"/>
        <v>67</v>
      </c>
      <c r="F18">
        <f t="shared" si="7"/>
        <v>71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226</v>
      </c>
      <c r="B19" s="42">
        <f>B12-J$11</f>
        <v>88</v>
      </c>
      <c r="C19">
        <f t="shared" si="7"/>
        <v>90</v>
      </c>
      <c r="D19">
        <f t="shared" si="7"/>
        <v>103</v>
      </c>
      <c r="E19">
        <f t="shared" si="7"/>
        <v>111</v>
      </c>
      <c r="F19">
        <f t="shared" si="7"/>
        <v>115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227</v>
      </c>
      <c r="B20" s="42">
        <f>B15-J$11</f>
        <v>132</v>
      </c>
      <c r="C20">
        <f t="shared" si="7"/>
        <v>134</v>
      </c>
      <c r="D20">
        <f t="shared" si="7"/>
        <v>147</v>
      </c>
      <c r="E20">
        <f t="shared" si="7"/>
        <v>155</v>
      </c>
      <c r="F20">
        <f t="shared" si="7"/>
        <v>159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3F-8921-434D-8066-C23E3B225BD9}">
  <dimension ref="A1:P26"/>
  <sheetViews>
    <sheetView workbookViewId="0">
      <selection activeCell="B6" sqref="B6"/>
    </sheetView>
  </sheetViews>
  <sheetFormatPr defaultRowHeight="14.25" x14ac:dyDescent="0.2"/>
  <cols>
    <col min="1" max="1" width="21.5" customWidth="1"/>
    <col min="3" max="3" width="10.625" customWidth="1"/>
    <col min="5" max="5" width="11.25" customWidth="1"/>
    <col min="21" max="21" width="9.875" customWidth="1"/>
  </cols>
  <sheetData>
    <row r="1" spans="1:16" x14ac:dyDescent="0.2">
      <c r="A1" t="s">
        <v>0</v>
      </c>
      <c r="B1" t="s">
        <v>219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264</v>
      </c>
      <c r="B5">
        <v>14</v>
      </c>
      <c r="C5">
        <f>B5+I9</f>
        <v>16</v>
      </c>
      <c r="D5">
        <f t="shared" ref="D5" si="0">C5+J9</f>
        <v>60</v>
      </c>
      <c r="E5" s="46">
        <f>D5+K9+2</f>
        <v>40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265</v>
      </c>
      <c r="B6">
        <f>D5-2+6</f>
        <v>64</v>
      </c>
      <c r="C6">
        <f>B6+I9</f>
        <v>66</v>
      </c>
      <c r="D6">
        <f t="shared" ref="D6:E6" si="1">C6+J9</f>
        <v>110</v>
      </c>
      <c r="E6">
        <f t="shared" si="1"/>
        <v>88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215</v>
      </c>
      <c r="E7">
        <f>E5</f>
        <v>40</v>
      </c>
      <c r="F7">
        <f>E7+L$11</f>
        <v>44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216</v>
      </c>
      <c r="E8">
        <f>F7</f>
        <v>44</v>
      </c>
      <c r="F8">
        <f>E8+L$11</f>
        <v>48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217</v>
      </c>
      <c r="E9">
        <f t="shared" ref="E9:E10" si="2">F8</f>
        <v>48</v>
      </c>
      <c r="F9">
        <f t="shared" ref="F9" si="3">E9+L$11</f>
        <v>52</v>
      </c>
      <c r="I9">
        <f>v0!K83</f>
        <v>2</v>
      </c>
      <c r="J9">
        <f>v0!L83</f>
        <v>44</v>
      </c>
      <c r="K9">
        <f>v0!M83</f>
        <v>-22</v>
      </c>
      <c r="L9">
        <f>v0!N83</f>
        <v>32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218</v>
      </c>
      <c r="E10">
        <f t="shared" si="2"/>
        <v>52</v>
      </c>
      <c r="F10">
        <f>E10+L$11+4</f>
        <v>60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211</v>
      </c>
      <c r="B11" s="49"/>
      <c r="E11">
        <f>E6</f>
        <v>88</v>
      </c>
      <c r="F11">
        <f>E11+L$11</f>
        <v>92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212</v>
      </c>
      <c r="E12">
        <f>F11</f>
        <v>92</v>
      </c>
      <c r="F12">
        <f t="shared" ref="F12" si="4">E12+L$11</f>
        <v>96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213</v>
      </c>
      <c r="E13">
        <f t="shared" ref="E13:E14" si="5">F12</f>
        <v>96</v>
      </c>
      <c r="F13">
        <f t="shared" ref="F13" si="6">E13+L$11</f>
        <v>100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214</v>
      </c>
      <c r="E14">
        <f t="shared" si="5"/>
        <v>100</v>
      </c>
      <c r="F14">
        <f>E14+L$11+4</f>
        <v>108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228</v>
      </c>
      <c r="E15">
        <f>E7+1</f>
        <v>41</v>
      </c>
      <c r="F15">
        <f>F7+1</f>
        <v>45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229</v>
      </c>
      <c r="E16">
        <f t="shared" ref="E16:F22" si="7">E8+1</f>
        <v>45</v>
      </c>
      <c r="F16">
        <f t="shared" si="7"/>
        <v>49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230</v>
      </c>
      <c r="E17">
        <f t="shared" si="7"/>
        <v>49</v>
      </c>
      <c r="F17">
        <f t="shared" si="7"/>
        <v>53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231</v>
      </c>
      <c r="E18">
        <f t="shared" si="7"/>
        <v>53</v>
      </c>
      <c r="F18">
        <f t="shared" si="7"/>
        <v>61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232</v>
      </c>
      <c r="E19">
        <f t="shared" si="7"/>
        <v>89</v>
      </c>
      <c r="F19">
        <f t="shared" si="7"/>
        <v>93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233</v>
      </c>
      <c r="E20">
        <f t="shared" si="7"/>
        <v>93</v>
      </c>
      <c r="F20">
        <f t="shared" si="7"/>
        <v>97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234</v>
      </c>
      <c r="E21">
        <f t="shared" si="7"/>
        <v>97</v>
      </c>
      <c r="F21">
        <f t="shared" si="7"/>
        <v>101</v>
      </c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A22" t="s">
        <v>235</v>
      </c>
      <c r="E22">
        <f t="shared" si="7"/>
        <v>101</v>
      </c>
      <c r="F22">
        <f t="shared" si="7"/>
        <v>109</v>
      </c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745C-91F1-4442-962E-DE64FDFDAC26}">
  <dimension ref="A1:P26"/>
  <sheetViews>
    <sheetView workbookViewId="0">
      <selection activeCell="C34" sqref="C34"/>
    </sheetView>
  </sheetViews>
  <sheetFormatPr defaultRowHeight="14.25" x14ac:dyDescent="0.2"/>
  <cols>
    <col min="1" max="1" width="21.5" customWidth="1"/>
    <col min="3" max="3" width="10.625" customWidth="1"/>
    <col min="9" max="9" width="10.375" customWidth="1"/>
    <col min="10" max="10" width="10.25" customWidth="1"/>
    <col min="11" max="11" width="9.875" customWidth="1"/>
    <col min="12" max="12" width="9.75" customWidth="1"/>
    <col min="21" max="21" width="9.875" customWidth="1"/>
  </cols>
  <sheetData>
    <row r="1" spans="1:16" x14ac:dyDescent="0.2">
      <c r="A1" t="s">
        <v>0</v>
      </c>
      <c r="B1" t="s">
        <v>236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238</v>
      </c>
      <c r="B5">
        <v>0</v>
      </c>
      <c r="C5">
        <f>B5+I$19</f>
        <v>2</v>
      </c>
      <c r="D5">
        <f t="shared" ref="D5:F5" si="0">C5+J$19</f>
        <v>8</v>
      </c>
      <c r="E5">
        <f t="shared" si="0"/>
        <v>16</v>
      </c>
      <c r="F5">
        <f t="shared" si="0"/>
        <v>18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239</v>
      </c>
      <c r="B6">
        <f>D5-2</f>
        <v>6</v>
      </c>
      <c r="C6">
        <f>B6+I$19</f>
        <v>8</v>
      </c>
      <c r="D6">
        <f t="shared" ref="D6" si="1">C6+J$19</f>
        <v>14</v>
      </c>
      <c r="E6">
        <f t="shared" ref="E6" si="2">D6+K$19</f>
        <v>22</v>
      </c>
      <c r="F6">
        <f t="shared" ref="F6" si="3">E6+L$19</f>
        <v>24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246</v>
      </c>
      <c r="C7">
        <f>F6</f>
        <v>24</v>
      </c>
      <c r="D7">
        <f>C7+N$14</f>
        <v>24</v>
      </c>
      <c r="E7">
        <f t="shared" ref="E7:F7" si="4">D7+O$14</f>
        <v>36</v>
      </c>
      <c r="F7">
        <f t="shared" si="4"/>
        <v>37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v>0</v>
      </c>
      <c r="O7">
        <f>v0!Q81</f>
        <v>12</v>
      </c>
      <c r="P7">
        <f>v0!R81</f>
        <v>0</v>
      </c>
    </row>
    <row r="8" spans="1:16" x14ac:dyDescent="0.2">
      <c r="A8" t="s">
        <v>240</v>
      </c>
      <c r="C8">
        <f>F7</f>
        <v>37</v>
      </c>
      <c r="D8">
        <f>C8+I$3</f>
        <v>38</v>
      </c>
      <c r="E8">
        <f t="shared" ref="E8:F8" si="5">D8+J$3</f>
        <v>39</v>
      </c>
      <c r="F8">
        <f t="shared" si="5"/>
        <v>42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149</v>
      </c>
      <c r="C9">
        <f>F8</f>
        <v>42</v>
      </c>
      <c r="D9">
        <f>C9+I$5</f>
        <v>42</v>
      </c>
      <c r="E9">
        <f t="shared" ref="E9:F9" si="6">D9+J$5</f>
        <v>42</v>
      </c>
      <c r="F9">
        <f t="shared" si="6"/>
        <v>42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242</v>
      </c>
      <c r="B10">
        <f>'264PMF Y c0 round0'!B9</f>
        <v>57</v>
      </c>
      <c r="C10">
        <f>B10+I$19</f>
        <v>59</v>
      </c>
      <c r="D10">
        <f>C10+J$19</f>
        <v>65</v>
      </c>
      <c r="E10">
        <f>D10+K$19</f>
        <v>73</v>
      </c>
      <c r="F10">
        <f>E10+L$19</f>
        <v>75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243</v>
      </c>
      <c r="C11">
        <f>F10</f>
        <v>75</v>
      </c>
      <c r="D11">
        <f>C11+N$14</f>
        <v>75</v>
      </c>
      <c r="E11">
        <f t="shared" ref="E11" si="7">D11+O$14</f>
        <v>87</v>
      </c>
      <c r="F11">
        <f t="shared" ref="F11" si="8">E11+P$14</f>
        <v>88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240</v>
      </c>
      <c r="C12">
        <f>F11</f>
        <v>88</v>
      </c>
      <c r="D12">
        <f>C12+I$3</f>
        <v>89</v>
      </c>
      <c r="E12">
        <f t="shared" ref="E12" si="9">D12+J$3</f>
        <v>90</v>
      </c>
      <c r="F12">
        <f t="shared" ref="F12" si="10">E12+K$3</f>
        <v>93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149</v>
      </c>
      <c r="C13">
        <f>F12</f>
        <v>93</v>
      </c>
      <c r="D13">
        <f>C13+I$5</f>
        <v>93</v>
      </c>
      <c r="E13">
        <f>D13+J$5</f>
        <v>93</v>
      </c>
      <c r="F13">
        <f>E13+K$5</f>
        <v>93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244</v>
      </c>
      <c r="B14">
        <f>'264PMF Y c0 round0'!B12</f>
        <v>101</v>
      </c>
      <c r="C14">
        <f>B14+I$19</f>
        <v>103</v>
      </c>
      <c r="D14">
        <f>C14+J$19</f>
        <v>109</v>
      </c>
      <c r="E14">
        <f>D14+K$19</f>
        <v>117</v>
      </c>
      <c r="F14">
        <f>E14+L$19</f>
        <v>119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243</v>
      </c>
      <c r="C15">
        <f>F14</f>
        <v>119</v>
      </c>
      <c r="D15">
        <f>C15+N$14</f>
        <v>119</v>
      </c>
      <c r="E15">
        <f t="shared" ref="E15" si="11">D15+O$14</f>
        <v>131</v>
      </c>
      <c r="F15">
        <f t="shared" ref="F15" si="12">E15+P$14</f>
        <v>132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240</v>
      </c>
      <c r="C16">
        <f>F15</f>
        <v>132</v>
      </c>
      <c r="D16">
        <f>C16+I$3</f>
        <v>133</v>
      </c>
      <c r="E16">
        <f t="shared" ref="E16" si="13">D16+J$3</f>
        <v>134</v>
      </c>
      <c r="F16">
        <f t="shared" ref="F16" si="14">E16+K$3</f>
        <v>137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149</v>
      </c>
      <c r="C17">
        <f>F16</f>
        <v>137</v>
      </c>
      <c r="D17">
        <f>C17+I$5</f>
        <v>137</v>
      </c>
      <c r="E17">
        <f>D17+J$5</f>
        <v>137</v>
      </c>
      <c r="F17">
        <f>E17+K$5</f>
        <v>137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245</v>
      </c>
      <c r="B18">
        <f>'264PMF Y c0 round0'!B15</f>
        <v>145</v>
      </c>
      <c r="C18">
        <f>B18+I$19</f>
        <v>147</v>
      </c>
      <c r="D18">
        <f>C18+J$19</f>
        <v>153</v>
      </c>
      <c r="E18">
        <f>D18+K$19</f>
        <v>161</v>
      </c>
      <c r="F18">
        <f>E18+L$19</f>
        <v>163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243</v>
      </c>
      <c r="C19">
        <f>F18</f>
        <v>163</v>
      </c>
      <c r="D19">
        <f>C19+N$14</f>
        <v>163</v>
      </c>
      <c r="E19">
        <f t="shared" ref="E19" si="15">D19+O$14</f>
        <v>175</v>
      </c>
      <c r="F19">
        <f t="shared" ref="F19" si="16">E19+P$14</f>
        <v>176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240</v>
      </c>
      <c r="C20">
        <f>F19</f>
        <v>176</v>
      </c>
      <c r="D20">
        <f>C20+I$3</f>
        <v>177</v>
      </c>
      <c r="E20">
        <f t="shared" ref="E20" si="17">D20+J$3</f>
        <v>178</v>
      </c>
      <c r="F20">
        <f t="shared" ref="F20" si="18">E20+K$3</f>
        <v>181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149</v>
      </c>
      <c r="C21">
        <f>F20</f>
        <v>181</v>
      </c>
      <c r="D21">
        <f>C21+I$5</f>
        <v>181</v>
      </c>
      <c r="E21">
        <f>D21+J$5</f>
        <v>181</v>
      </c>
      <c r="F21">
        <f>E21+K$5</f>
        <v>181</v>
      </c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A22" t="s">
        <v>145</v>
      </c>
      <c r="B22">
        <f>D6-2</f>
        <v>12</v>
      </c>
      <c r="C22">
        <f t="shared" ref="C22:F24" si="19">B22+I$19</f>
        <v>14</v>
      </c>
      <c r="D22">
        <f t="shared" si="19"/>
        <v>20</v>
      </c>
      <c r="E22">
        <f t="shared" si="19"/>
        <v>28</v>
      </c>
      <c r="F22">
        <f t="shared" si="19"/>
        <v>30</v>
      </c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A23" t="s">
        <v>146</v>
      </c>
      <c r="B23">
        <f>B14-J19</f>
        <v>95</v>
      </c>
      <c r="C23">
        <f t="shared" si="19"/>
        <v>97</v>
      </c>
      <c r="D23">
        <f t="shared" si="19"/>
        <v>103</v>
      </c>
      <c r="E23">
        <f t="shared" si="19"/>
        <v>111</v>
      </c>
      <c r="F23">
        <f t="shared" si="19"/>
        <v>113</v>
      </c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A24" t="s">
        <v>247</v>
      </c>
      <c r="B24">
        <f>B18-J19</f>
        <v>139</v>
      </c>
      <c r="C24">
        <f t="shared" si="19"/>
        <v>141</v>
      </c>
      <c r="D24">
        <f t="shared" si="19"/>
        <v>147</v>
      </c>
      <c r="E24">
        <f t="shared" si="19"/>
        <v>155</v>
      </c>
      <c r="F24">
        <f t="shared" si="19"/>
        <v>157</v>
      </c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CD4-0F23-4B5D-858D-80243844B2B7}">
  <dimension ref="A1:P26"/>
  <sheetViews>
    <sheetView workbookViewId="0">
      <selection activeCell="M20" sqref="M2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241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206</v>
      </c>
      <c r="B5" s="45">
        <f>'264PMF Y c1 round0'!B5</f>
        <v>14</v>
      </c>
      <c r="C5">
        <f>B5+I17</f>
        <v>16</v>
      </c>
      <c r="D5">
        <f t="shared" ref="D5" si="0">C5+J17</f>
        <v>34</v>
      </c>
      <c r="E5">
        <f>D5+K17+4</f>
        <v>30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207</v>
      </c>
      <c r="B6" s="45">
        <f>'264PMF Y c1 round0'!B6</f>
        <v>64</v>
      </c>
      <c r="C6">
        <f>B6+I17</f>
        <v>66</v>
      </c>
      <c r="D6">
        <f t="shared" ref="D6:E6" si="1">C6+J17</f>
        <v>84</v>
      </c>
      <c r="E6">
        <f t="shared" si="1"/>
        <v>76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220</v>
      </c>
      <c r="B7" s="45"/>
      <c r="E7">
        <f>E5+1</f>
        <v>31</v>
      </c>
      <c r="F7">
        <f>E7+2</f>
        <v>33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222</v>
      </c>
      <c r="B8" s="45"/>
      <c r="E8">
        <f>F7</f>
        <v>33</v>
      </c>
      <c r="F8">
        <f t="shared" ref="F8:F9" si="2">E8+2</f>
        <v>35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223</v>
      </c>
      <c r="B9" s="45"/>
      <c r="E9">
        <f t="shared" ref="E9:E14" si="3">F8</f>
        <v>35</v>
      </c>
      <c r="F9">
        <f t="shared" si="2"/>
        <v>37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224</v>
      </c>
      <c r="B10" s="45"/>
      <c r="E10">
        <f t="shared" si="3"/>
        <v>37</v>
      </c>
      <c r="F10">
        <f>E10+4</f>
        <v>41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221</v>
      </c>
      <c r="B11" s="45"/>
      <c r="E11">
        <f>E6+1</f>
        <v>77</v>
      </c>
      <c r="F11">
        <f>E11+2</f>
        <v>79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225</v>
      </c>
      <c r="B12" s="45"/>
      <c r="E12">
        <f t="shared" si="3"/>
        <v>79</v>
      </c>
      <c r="F12">
        <f t="shared" ref="F12:F13" si="4">E12+2</f>
        <v>81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226</v>
      </c>
      <c r="B13" s="45"/>
      <c r="E13">
        <f t="shared" si="3"/>
        <v>81</v>
      </c>
      <c r="F13">
        <f t="shared" si="4"/>
        <v>83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227</v>
      </c>
      <c r="E14">
        <f t="shared" si="3"/>
        <v>83</v>
      </c>
      <c r="F14">
        <f>E14+4</f>
        <v>87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9:16" x14ac:dyDescent="0.2">
      <c r="I17">
        <f>v0!K91</f>
        <v>2</v>
      </c>
      <c r="J17">
        <v>18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9:16" x14ac:dyDescent="0.2"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9:16" x14ac:dyDescent="0.2"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9:16" x14ac:dyDescent="0.2"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9:16" x14ac:dyDescent="0.2"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9:16" x14ac:dyDescent="0.2"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9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9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9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9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D03-BF78-46BE-832D-3A5B174965E9}">
  <dimension ref="A1:AB34"/>
  <sheetViews>
    <sheetView workbookViewId="0">
      <selection activeCell="I8" sqref="I8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153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0</v>
      </c>
      <c r="C5">
        <f>B5+$P$2</f>
        <v>2</v>
      </c>
      <c r="D5">
        <f>C5+$Q$2</f>
        <v>10</v>
      </c>
      <c r="E5">
        <f>D5+$R$2</f>
        <v>14</v>
      </c>
      <c r="F5">
        <f>E5+$S$2</f>
        <v>18</v>
      </c>
    </row>
    <row r="6" spans="1:28" x14ac:dyDescent="0.2">
      <c r="A6" t="s">
        <v>30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22</v>
      </c>
      <c r="F6">
        <f t="shared" ref="F6:F8" si="3">E6+$S$2</f>
        <v>26</v>
      </c>
    </row>
    <row r="7" spans="1:28" x14ac:dyDescent="0.2">
      <c r="A7" t="s">
        <v>31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30</v>
      </c>
      <c r="F7">
        <f t="shared" si="3"/>
        <v>34</v>
      </c>
    </row>
    <row r="8" spans="1:28" x14ac:dyDescent="0.2">
      <c r="A8" t="s">
        <v>50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38</v>
      </c>
      <c r="F8">
        <f t="shared" si="3"/>
        <v>42</v>
      </c>
    </row>
    <row r="9" spans="1:28" x14ac:dyDescent="0.2">
      <c r="A9" t="s">
        <v>32</v>
      </c>
      <c r="C9">
        <f>F8</f>
        <v>42</v>
      </c>
      <c r="D9">
        <f>C9+$U$2</f>
        <v>42</v>
      </c>
      <c r="E9">
        <f>D9+$V$2</f>
        <v>61</v>
      </c>
      <c r="F9">
        <f>E9+$W$2</f>
        <v>61</v>
      </c>
    </row>
    <row r="10" spans="1:28" x14ac:dyDescent="0.2">
      <c r="A10" t="s">
        <v>33</v>
      </c>
      <c r="C10">
        <f>F9</f>
        <v>61</v>
      </c>
      <c r="D10">
        <f>C10+$H$2</f>
        <v>62</v>
      </c>
      <c r="E10">
        <f>D10+$I$2</f>
        <v>63</v>
      </c>
      <c r="F10">
        <f>E10+$J$2</f>
        <v>64</v>
      </c>
    </row>
    <row r="11" spans="1:28" x14ac:dyDescent="0.2">
      <c r="A11" t="s">
        <v>34</v>
      </c>
      <c r="C11">
        <f>F10</f>
        <v>64</v>
      </c>
      <c r="D11">
        <f>C11+$L$2</f>
        <v>65</v>
      </c>
      <c r="E11">
        <f>D11+$M$2</f>
        <v>66</v>
      </c>
      <c r="F11">
        <f>E11+$N$2</f>
        <v>70</v>
      </c>
    </row>
    <row r="12" spans="1:28" x14ac:dyDescent="0.2">
      <c r="A12" t="s">
        <v>44</v>
      </c>
      <c r="B12">
        <f>D31-2</f>
        <v>79</v>
      </c>
      <c r="C12">
        <f>B12+$P$2</f>
        <v>81</v>
      </c>
      <c r="D12">
        <f>C12+$Q$2</f>
        <v>89</v>
      </c>
      <c r="E12">
        <f>D12+$R$2</f>
        <v>93</v>
      </c>
      <c r="F12">
        <f>E12+$S$2</f>
        <v>97</v>
      </c>
    </row>
    <row r="13" spans="1:28" x14ac:dyDescent="0.2">
      <c r="A13" t="s">
        <v>37</v>
      </c>
      <c r="C13">
        <f>F12</f>
        <v>97</v>
      </c>
      <c r="D13">
        <f>C13+$U$2</f>
        <v>97</v>
      </c>
      <c r="E13">
        <f>D13+$V$2</f>
        <v>116</v>
      </c>
      <c r="F13">
        <f>E13+$W$2</f>
        <v>116</v>
      </c>
    </row>
    <row r="14" spans="1:28" x14ac:dyDescent="0.2">
      <c r="A14" t="s">
        <v>33</v>
      </c>
      <c r="C14">
        <f>F13</f>
        <v>116</v>
      </c>
      <c r="D14">
        <f>C14+$H$2</f>
        <v>117</v>
      </c>
      <c r="E14">
        <f>D14+$I$2</f>
        <v>118</v>
      </c>
      <c r="F14">
        <f>E14+$J$2</f>
        <v>119</v>
      </c>
    </row>
    <row r="15" spans="1:28" x14ac:dyDescent="0.2">
      <c r="A15" t="s">
        <v>34</v>
      </c>
      <c r="C15">
        <f>F14</f>
        <v>119</v>
      </c>
      <c r="D15">
        <f>C15+$L$2</f>
        <v>120</v>
      </c>
      <c r="E15">
        <f>D15+$M$2</f>
        <v>121</v>
      </c>
      <c r="F15">
        <f>E15+$N$2</f>
        <v>125</v>
      </c>
    </row>
    <row r="16" spans="1:28" x14ac:dyDescent="0.2">
      <c r="A16" t="s">
        <v>38</v>
      </c>
      <c r="B16">
        <f>F15</f>
        <v>125</v>
      </c>
      <c r="C16">
        <f>B16+$P$2</f>
        <v>127</v>
      </c>
      <c r="D16">
        <f>C16+$Q$2</f>
        <v>135</v>
      </c>
      <c r="E16">
        <f>D16+$R$2</f>
        <v>139</v>
      </c>
      <c r="F16">
        <f>E16+$S$2</f>
        <v>143</v>
      </c>
    </row>
    <row r="17" spans="1:6" x14ac:dyDescent="0.2">
      <c r="A17" t="s">
        <v>37</v>
      </c>
      <c r="C17">
        <f>F16</f>
        <v>143</v>
      </c>
      <c r="D17">
        <f>C17+$U$2</f>
        <v>143</v>
      </c>
      <c r="E17">
        <f>D17+$V$2</f>
        <v>162</v>
      </c>
      <c r="F17">
        <f>E17+$W$2</f>
        <v>162</v>
      </c>
    </row>
    <row r="18" spans="1:6" x14ac:dyDescent="0.2">
      <c r="A18" t="s">
        <v>33</v>
      </c>
      <c r="C18">
        <f>F17</f>
        <v>162</v>
      </c>
      <c r="D18">
        <f>C18+$H$2</f>
        <v>163</v>
      </c>
      <c r="E18">
        <f>D18+$I$2</f>
        <v>164</v>
      </c>
      <c r="F18">
        <f>E18+$J$2</f>
        <v>165</v>
      </c>
    </row>
    <row r="19" spans="1:6" x14ac:dyDescent="0.2">
      <c r="A19" t="s">
        <v>34</v>
      </c>
      <c r="C19">
        <f>F18</f>
        <v>165</v>
      </c>
      <c r="D19">
        <f>C19+$L$2</f>
        <v>166</v>
      </c>
      <c r="E19">
        <f>D19+$M$2</f>
        <v>167</v>
      </c>
      <c r="F19">
        <f>E19+$N$2</f>
        <v>171</v>
      </c>
    </row>
    <row r="20" spans="1:6" x14ac:dyDescent="0.2">
      <c r="A20" t="s">
        <v>42</v>
      </c>
      <c r="B20">
        <f>F19</f>
        <v>171</v>
      </c>
      <c r="C20">
        <f>B20+$P$2</f>
        <v>173</v>
      </c>
      <c r="D20">
        <f>C20+$Q$2</f>
        <v>181</v>
      </c>
      <c r="E20">
        <f>D20+$R$2</f>
        <v>185</v>
      </c>
      <c r="F20">
        <f>E20+$S$2</f>
        <v>189</v>
      </c>
    </row>
    <row r="21" spans="1:6" x14ac:dyDescent="0.2">
      <c r="A21" t="s">
        <v>32</v>
      </c>
      <c r="C21">
        <f>F20</f>
        <v>189</v>
      </c>
      <c r="D21">
        <f>C21+$U$2</f>
        <v>189</v>
      </c>
      <c r="E21">
        <f>D21+$V$2</f>
        <v>208</v>
      </c>
      <c r="F21">
        <f>E21+$W$2</f>
        <v>208</v>
      </c>
    </row>
    <row r="22" spans="1:6" x14ac:dyDescent="0.2">
      <c r="A22" t="s">
        <v>33</v>
      </c>
      <c r="C22">
        <f>F21</f>
        <v>208</v>
      </c>
      <c r="D22">
        <f>C22+$H$2</f>
        <v>209</v>
      </c>
      <c r="E22">
        <f>D22+$I$2</f>
        <v>210</v>
      </c>
      <c r="F22">
        <f>E22+$J$2</f>
        <v>211</v>
      </c>
    </row>
    <row r="23" spans="1:6" x14ac:dyDescent="0.2">
      <c r="A23" t="s">
        <v>34</v>
      </c>
      <c r="C23">
        <f>F22</f>
        <v>211</v>
      </c>
      <c r="D23">
        <f>C23+$L$2</f>
        <v>212</v>
      </c>
      <c r="E23">
        <f>D23+$M$2</f>
        <v>213</v>
      </c>
      <c r="F23">
        <f>E23+$N$2</f>
        <v>217</v>
      </c>
    </row>
    <row r="24" spans="1:6" x14ac:dyDescent="0.2">
      <c r="A24" t="s">
        <v>22</v>
      </c>
      <c r="D24">
        <f>F23</f>
        <v>217</v>
      </c>
      <c r="E24">
        <f>D24+7</f>
        <v>224</v>
      </c>
      <c r="F24">
        <f>E24+1</f>
        <v>225</v>
      </c>
    </row>
    <row r="25" spans="1:6" x14ac:dyDescent="0.2">
      <c r="A25" t="s">
        <v>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46</v>
      </c>
      <c r="F25">
        <f t="shared" ref="F25:F26" si="7">E25+$S$2</f>
        <v>50</v>
      </c>
    </row>
    <row r="26" spans="1:6" x14ac:dyDescent="0.2">
      <c r="A26" t="s">
        <v>35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54</v>
      </c>
      <c r="F26">
        <f t="shared" si="7"/>
        <v>58</v>
      </c>
    </row>
    <row r="27" spans="1:6" x14ac:dyDescent="0.2">
      <c r="A27" t="s">
        <v>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62</v>
      </c>
      <c r="F27">
        <f>E27+$S$2</f>
        <v>66</v>
      </c>
    </row>
    <row r="28" spans="1:6" x14ac:dyDescent="0.2">
      <c r="A28" t="s">
        <v>49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117</v>
      </c>
      <c r="F28">
        <f>E28+$S$2</f>
        <v>121</v>
      </c>
    </row>
    <row r="29" spans="1:6" x14ac:dyDescent="0.2">
      <c r="A29" t="s">
        <v>45</v>
      </c>
      <c r="B29">
        <f>B12+8</f>
        <v>87</v>
      </c>
      <c r="C29">
        <f>B29+$P$2</f>
        <v>89</v>
      </c>
      <c r="D29">
        <f>C29+$Q$2</f>
        <v>97</v>
      </c>
      <c r="E29">
        <f>D29+$R$2</f>
        <v>101</v>
      </c>
      <c r="F29">
        <f>E29+$S$2</f>
        <v>105</v>
      </c>
    </row>
    <row r="30" spans="1:6" x14ac:dyDescent="0.2">
      <c r="A30" t="s">
        <v>46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109</v>
      </c>
      <c r="F30">
        <f>E30+$S$2</f>
        <v>113</v>
      </c>
    </row>
    <row r="31" spans="1:6" x14ac:dyDescent="0.2">
      <c r="A31" t="s">
        <v>181</v>
      </c>
      <c r="B31">
        <f>D27-2</f>
        <v>56</v>
      </c>
      <c r="C31">
        <f>B31+$Y$2</f>
        <v>58</v>
      </c>
      <c r="D31">
        <f>C31+$Z$2</f>
        <v>81</v>
      </c>
      <c r="E31" s="42">
        <f>D31+$AA$2+24</f>
        <v>97</v>
      </c>
      <c r="F31">
        <f>E31+$AB$2</f>
        <v>113</v>
      </c>
    </row>
    <row r="32" spans="1:6" x14ac:dyDescent="0.2">
      <c r="A32" t="s">
        <v>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147</v>
      </c>
      <c r="F32">
        <f>E32+$S$2</f>
        <v>151</v>
      </c>
    </row>
    <row r="33" spans="1:6" x14ac:dyDescent="0.2">
      <c r="A33" t="s">
        <v>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155</v>
      </c>
      <c r="F33">
        <f>E33+$S$2</f>
        <v>159</v>
      </c>
    </row>
    <row r="34" spans="1:6" x14ac:dyDescent="0.2">
      <c r="A34" t="s">
        <v>41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163</v>
      </c>
      <c r="F34">
        <f>E34+$S$2</f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A5-8DB8-41DD-B69F-0012EB1257B8}">
  <dimension ref="A1:F38"/>
  <sheetViews>
    <sheetView workbookViewId="0">
      <selection activeCell="H36" sqref="H36"/>
    </sheetView>
  </sheetViews>
  <sheetFormatPr defaultRowHeight="14.25" x14ac:dyDescent="0.2"/>
  <cols>
    <col min="1" max="1" width="21.5" customWidth="1"/>
    <col min="3" max="3" width="10.625" customWidth="1"/>
    <col min="6" max="6" width="10.5" customWidth="1"/>
  </cols>
  <sheetData>
    <row r="1" spans="1:6" x14ac:dyDescent="0.2">
      <c r="A1" t="str">
        <f>'PMF c0 round0'!A1</f>
        <v>tile</v>
      </c>
      <c r="B1" t="str">
        <f>'PMF c0 round0'!B1</f>
        <v>PMF c0 round0</v>
      </c>
    </row>
    <row r="2" spans="1:6" x14ac:dyDescent="0.2">
      <c r="A2" t="str">
        <f>'PMF c0 round0'!A2</f>
        <v>x</v>
      </c>
      <c r="B2" t="str">
        <f>'PMF c0 round0'!B2</f>
        <v>CYCLE</v>
      </c>
    </row>
    <row r="3" spans="1:6" x14ac:dyDescent="0.2">
      <c r="A3" t="str">
        <f>'PMF c0 round0'!A3</f>
        <v>y</v>
      </c>
      <c r="B3" t="str">
        <f>'PMF c0 round0'!B3</f>
        <v>MODE</v>
      </c>
    </row>
    <row r="4" spans="1:6" x14ac:dyDescent="0.2">
      <c r="A4" t="str">
        <f>'PMF c0 round0'!A4</f>
        <v>mode</v>
      </c>
      <c r="B4" t="str">
        <f>'PMF c0 round0'!B4</f>
        <v>pipe begin</v>
      </c>
      <c r="C4" t="str">
        <f>'PMF c0 round0'!C4</f>
        <v>input begin</v>
      </c>
      <c r="D4" t="str">
        <f>'PMF c0 round0'!D4</f>
        <v>input end</v>
      </c>
      <c r="E4" t="str">
        <f>'PMF c0 round0'!E4</f>
        <v>output begin</v>
      </c>
      <c r="F4" t="str">
        <f>'PMF c0 round0'!F4</f>
        <v>output end</v>
      </c>
    </row>
    <row r="5" spans="1:6" x14ac:dyDescent="0.2">
      <c r="A5" t="str">
        <f>'PMF c0 round0'!A5</f>
        <v>PMF_M8_0_a</v>
      </c>
      <c r="B5">
        <f>'PMF c0 round0'!B5</f>
        <v>0</v>
      </c>
      <c r="C5">
        <f>'PMF c0 round0'!C5</f>
        <v>2</v>
      </c>
      <c r="D5">
        <f>'PMF c0 round0'!D5</f>
        <v>10</v>
      </c>
      <c r="E5" s="40">
        <f>'PMF c0 round0'!E5+2</f>
        <v>16</v>
      </c>
      <c r="F5" s="40">
        <f>'PMF c0 round0'!F5+2</f>
        <v>20</v>
      </c>
    </row>
    <row r="6" spans="1:6" x14ac:dyDescent="0.2">
      <c r="A6" t="str">
        <f>'PMF c0 round0'!A6</f>
        <v xml:space="preserve">PMF_M8_0_b </v>
      </c>
      <c r="B6">
        <f>'PMF c0 round0'!B6</f>
        <v>8</v>
      </c>
      <c r="C6">
        <f>'PMF c0 round0'!C6</f>
        <v>10</v>
      </c>
      <c r="D6">
        <f>'PMF c0 round0'!D6</f>
        <v>18</v>
      </c>
      <c r="E6" s="40">
        <f>'PMF c0 round0'!E6+2</f>
        <v>24</v>
      </c>
      <c r="F6" s="40">
        <f>'PMF c0 round0'!F6+2</f>
        <v>28</v>
      </c>
    </row>
    <row r="7" spans="1:6" x14ac:dyDescent="0.2">
      <c r="A7" t="str">
        <f>'PMF c0 round0'!A7</f>
        <v xml:space="preserve">PMF_M8_0_c </v>
      </c>
      <c r="B7">
        <f>'PMF c0 round0'!B7</f>
        <v>16</v>
      </c>
      <c r="C7">
        <f>'PMF c0 round0'!C7</f>
        <v>18</v>
      </c>
      <c r="D7">
        <f>'PMF c0 round0'!D7</f>
        <v>26</v>
      </c>
      <c r="E7" s="40">
        <f>'PMF c0 round0'!E7+2</f>
        <v>32</v>
      </c>
      <c r="F7" s="40">
        <f>'PMF c0 round0'!F7+2</f>
        <v>36</v>
      </c>
    </row>
    <row r="8" spans="1:6" x14ac:dyDescent="0.2">
      <c r="A8" t="str">
        <f>'PMF c0 round0'!A8</f>
        <v>PMF_F8_0</v>
      </c>
      <c r="B8">
        <f>'PMF c0 round0'!B8</f>
        <v>24</v>
      </c>
      <c r="C8">
        <f>'PMF c0 round0'!C8</f>
        <v>26</v>
      </c>
      <c r="D8">
        <f>'PMF c0 round0'!D8</f>
        <v>34</v>
      </c>
      <c r="E8" s="40">
        <f>'PMF c0 round0'!E8+2</f>
        <v>40</v>
      </c>
      <c r="F8" s="40">
        <f>'PMF c0 round0'!F8+2</f>
        <v>44</v>
      </c>
    </row>
    <row r="9" spans="1:6" x14ac:dyDescent="0.2">
      <c r="A9" t="str">
        <f>'PMF c0 round0'!A9</f>
        <v xml:space="preserve">TQITQ_F8 </v>
      </c>
      <c r="B9">
        <f>'PMF c0 round0'!B9</f>
        <v>0</v>
      </c>
      <c r="C9">
        <f>'PMF c0 round0'!C9</f>
        <v>42</v>
      </c>
      <c r="D9">
        <f>'PMF c0 round0'!D9</f>
        <v>42</v>
      </c>
      <c r="E9">
        <f>'PMF c0 round0'!E9</f>
        <v>61</v>
      </c>
      <c r="F9">
        <f>'PMF c0 round0'!F9</f>
        <v>61</v>
      </c>
    </row>
    <row r="10" spans="1:6" x14ac:dyDescent="0.2">
      <c r="A10" t="str">
        <f>'PMF c0 round0'!A10</f>
        <v xml:space="preserve">INTER_PK8 </v>
      </c>
      <c r="B10">
        <f>'PMF c0 round0'!B10</f>
        <v>0</v>
      </c>
      <c r="C10">
        <f>'PMF c0 round0'!C10</f>
        <v>61</v>
      </c>
      <c r="D10">
        <f>'PMF c0 round0'!D10</f>
        <v>62</v>
      </c>
      <c r="E10">
        <f>'PMF c0 round0'!E10</f>
        <v>63</v>
      </c>
      <c r="F10">
        <f>'PMF c0 round0'!F10</f>
        <v>64</v>
      </c>
    </row>
    <row r="11" spans="1:6" x14ac:dyDescent="0.2">
      <c r="A11" t="str">
        <f>'PMF c0 round0'!A11</f>
        <v xml:space="preserve">SEL_PK8 </v>
      </c>
      <c r="B11">
        <f>'PMF c0 round0'!B11</f>
        <v>0</v>
      </c>
      <c r="C11">
        <f>'PMF c0 round0'!C11</f>
        <v>64</v>
      </c>
      <c r="D11">
        <f>'PMF c0 round0'!D11</f>
        <v>65</v>
      </c>
      <c r="E11">
        <f>'PMF c0 round0'!E11</f>
        <v>66</v>
      </c>
      <c r="F11">
        <f>'PMF c0 round0'!F11</f>
        <v>70</v>
      </c>
    </row>
    <row r="12" spans="1:6" x14ac:dyDescent="0.2">
      <c r="A12" t="str">
        <f>'PMF c0 round0'!A12</f>
        <v xml:space="preserve">PMF_M8_1_c </v>
      </c>
      <c r="B12">
        <f>'PMF c0 round0'!B12</f>
        <v>79</v>
      </c>
      <c r="C12">
        <f>'PMF c0 round0'!C12</f>
        <v>81</v>
      </c>
      <c r="D12">
        <f>'PMF c0 round0'!D12</f>
        <v>89</v>
      </c>
      <c r="E12" s="40">
        <f>'PMF c0 round0'!E12+2</f>
        <v>95</v>
      </c>
      <c r="F12" s="40">
        <f>'PMF c0 round0'!F12+2</f>
        <v>99</v>
      </c>
    </row>
    <row r="13" spans="1:6" x14ac:dyDescent="0.2">
      <c r="A13" t="str">
        <f>'PMF c0 round0'!A13</f>
        <v xml:space="preserve">TQITQ_M8 </v>
      </c>
      <c r="B13">
        <f>'PMF c0 round0'!B13</f>
        <v>0</v>
      </c>
      <c r="C13">
        <f>'PMF c0 round0'!C13</f>
        <v>97</v>
      </c>
      <c r="D13">
        <f>'PMF c0 round0'!D13</f>
        <v>97</v>
      </c>
      <c r="E13">
        <f>'PMF c0 round0'!E13</f>
        <v>116</v>
      </c>
      <c r="F13">
        <f>'PMF c0 round0'!F13</f>
        <v>116</v>
      </c>
    </row>
    <row r="14" spans="1:6" x14ac:dyDescent="0.2">
      <c r="A14" t="str">
        <f>'PMF c0 round0'!A14</f>
        <v xml:space="preserve">INTER_PK8 </v>
      </c>
      <c r="B14">
        <f>'PMF c0 round0'!B14</f>
        <v>0</v>
      </c>
      <c r="C14">
        <f>'PMF c0 round0'!C14</f>
        <v>116</v>
      </c>
      <c r="D14">
        <f>'PMF c0 round0'!D14</f>
        <v>117</v>
      </c>
      <c r="E14">
        <f>'PMF c0 round0'!E14</f>
        <v>118</v>
      </c>
      <c r="F14">
        <f>'PMF c0 round0'!F14</f>
        <v>119</v>
      </c>
    </row>
    <row r="15" spans="1:6" x14ac:dyDescent="0.2">
      <c r="A15" t="str">
        <f>'PMF c0 round0'!A15</f>
        <v xml:space="preserve">SEL_PK8 </v>
      </c>
      <c r="B15">
        <f>'PMF c0 round0'!B15</f>
        <v>0</v>
      </c>
      <c r="C15">
        <f>'PMF c0 round0'!C15</f>
        <v>119</v>
      </c>
      <c r="D15">
        <f>'PMF c0 round0'!D15</f>
        <v>120</v>
      </c>
      <c r="E15">
        <f>'PMF c0 round0'!E15</f>
        <v>121</v>
      </c>
      <c r="F15">
        <f>'PMF c0 round0'!F15</f>
        <v>125</v>
      </c>
    </row>
    <row r="16" spans="1:6" x14ac:dyDescent="0.2">
      <c r="A16" t="str">
        <f>'PMF c0 round0'!A16</f>
        <v xml:space="preserve">PMF_M8_2_c </v>
      </c>
      <c r="B16">
        <f>'PMF c0 round0'!B16</f>
        <v>125</v>
      </c>
      <c r="C16">
        <f>'PMF c0 round0'!C16</f>
        <v>127</v>
      </c>
      <c r="D16">
        <f>'PMF c0 round0'!D16</f>
        <v>135</v>
      </c>
      <c r="E16" s="40">
        <f>'PMF c0 round0'!E16+2</f>
        <v>141</v>
      </c>
      <c r="F16" s="40">
        <f>'PMF c0 round0'!F16+2</f>
        <v>145</v>
      </c>
    </row>
    <row r="17" spans="1:6" x14ac:dyDescent="0.2">
      <c r="A17" t="str">
        <f>'PMF c0 round0'!A17</f>
        <v xml:space="preserve">TQITQ_M8 </v>
      </c>
      <c r="B17">
        <f>'PMF c0 round0'!B17</f>
        <v>0</v>
      </c>
      <c r="C17">
        <f>'PMF c0 round0'!C17</f>
        <v>143</v>
      </c>
      <c r="D17">
        <f>'PMF c0 round0'!D17</f>
        <v>143</v>
      </c>
      <c r="E17">
        <f>'PMF c0 round0'!E17</f>
        <v>162</v>
      </c>
      <c r="F17">
        <f>'PMF c0 round0'!F17</f>
        <v>162</v>
      </c>
    </row>
    <row r="18" spans="1:6" x14ac:dyDescent="0.2">
      <c r="A18" t="str">
        <f>'PMF c0 round0'!A18</f>
        <v xml:space="preserve">INTER_PK8 </v>
      </c>
      <c r="B18">
        <f>'PMF c0 round0'!B18</f>
        <v>0</v>
      </c>
      <c r="C18">
        <f>'PMF c0 round0'!C18</f>
        <v>162</v>
      </c>
      <c r="D18">
        <f>'PMF c0 round0'!D18</f>
        <v>163</v>
      </c>
      <c r="E18">
        <f>'PMF c0 round0'!E18</f>
        <v>164</v>
      </c>
      <c r="F18">
        <f>'PMF c0 round0'!F18</f>
        <v>165</v>
      </c>
    </row>
    <row r="19" spans="1:6" x14ac:dyDescent="0.2">
      <c r="A19" t="str">
        <f>'PMF c0 round0'!A19</f>
        <v xml:space="preserve">SEL_PK8 </v>
      </c>
      <c r="B19">
        <f>'PMF c0 round0'!B19</f>
        <v>0</v>
      </c>
      <c r="C19">
        <f>'PMF c0 round0'!C19</f>
        <v>165</v>
      </c>
      <c r="D19">
        <f>'PMF c0 round0'!D19</f>
        <v>166</v>
      </c>
      <c r="E19">
        <f>'PMF c0 round0'!E19</f>
        <v>167</v>
      </c>
      <c r="F19">
        <f>'PMF c0 round0'!F19</f>
        <v>171</v>
      </c>
    </row>
    <row r="20" spans="1:6" x14ac:dyDescent="0.2">
      <c r="A20" t="str">
        <f>'PMF c0 round0'!A20</f>
        <v xml:space="preserve">PMF_M8_3_c </v>
      </c>
      <c r="B20">
        <f>'PMF c0 round0'!B20</f>
        <v>171</v>
      </c>
      <c r="C20">
        <f>'PMF c0 round0'!C20</f>
        <v>173</v>
      </c>
      <c r="D20">
        <f>'PMF c0 round0'!D20</f>
        <v>181</v>
      </c>
      <c r="E20" s="40">
        <f>'PMF c0 round0'!E20+5</f>
        <v>190</v>
      </c>
      <c r="F20" s="40">
        <f>'PMF c0 round0'!F20+5</f>
        <v>194</v>
      </c>
    </row>
    <row r="21" spans="1:6" x14ac:dyDescent="0.2">
      <c r="A21" t="str">
        <f>'PMF c0 round0'!A21</f>
        <v xml:space="preserve">TQITQ_F8 </v>
      </c>
      <c r="B21">
        <f>'PMF c0 round0'!B21</f>
        <v>0</v>
      </c>
      <c r="C21">
        <f>'PMF c0 round0'!C21</f>
        <v>189</v>
      </c>
      <c r="D21">
        <f>'PMF c0 round0'!D21</f>
        <v>189</v>
      </c>
      <c r="E21">
        <f>'PMF c0 round0'!E21</f>
        <v>208</v>
      </c>
      <c r="F21">
        <f>'PMF c0 round0'!F21</f>
        <v>208</v>
      </c>
    </row>
    <row r="22" spans="1:6" x14ac:dyDescent="0.2">
      <c r="A22" t="str">
        <f>'PMF c0 round0'!A22</f>
        <v xml:space="preserve">INTER_PK8 </v>
      </c>
      <c r="B22">
        <f>'PMF c0 round0'!B22</f>
        <v>0</v>
      </c>
      <c r="C22">
        <f>'PMF c0 round0'!C22</f>
        <v>208</v>
      </c>
      <c r="D22">
        <f>'PMF c0 round0'!D22</f>
        <v>209</v>
      </c>
      <c r="E22">
        <f>'PMF c0 round0'!E22</f>
        <v>210</v>
      </c>
      <c r="F22">
        <f>'PMF c0 round0'!F22</f>
        <v>211</v>
      </c>
    </row>
    <row r="23" spans="1:6" x14ac:dyDescent="0.2">
      <c r="A23" t="str">
        <f>'PMF c0 round0'!A23</f>
        <v xml:space="preserve">SEL_PK8 </v>
      </c>
      <c r="B23">
        <f>'PMF c0 round0'!B23</f>
        <v>0</v>
      </c>
      <c r="C23">
        <f>'PMF c0 round0'!C23</f>
        <v>211</v>
      </c>
      <c r="D23">
        <f>'PMF c0 round0'!D23</f>
        <v>212</v>
      </c>
      <c r="E23">
        <f>'PMF c0 round0'!E23</f>
        <v>213</v>
      </c>
      <c r="F23">
        <f>'PMF c0 round0'!F23</f>
        <v>217</v>
      </c>
    </row>
    <row r="24" spans="1:6" x14ac:dyDescent="0.2">
      <c r="A24" t="str">
        <f>'PMF c0 round0'!A24</f>
        <v>dummy wait</v>
      </c>
      <c r="B24">
        <f>'PMF c0 round0'!B24</f>
        <v>0</v>
      </c>
      <c r="C24">
        <f>'PMF c0 round0'!C24</f>
        <v>0</v>
      </c>
      <c r="D24">
        <f>'PMF c0 round0'!D24</f>
        <v>217</v>
      </c>
      <c r="E24">
        <f>'PMF c0 round0'!E24</f>
        <v>224</v>
      </c>
      <c r="F24">
        <f>'PMF c0 round0'!F24</f>
        <v>225</v>
      </c>
    </row>
    <row r="25" spans="1:6" x14ac:dyDescent="0.2">
      <c r="A25" t="str">
        <f>'PMF c0 round0'!A25</f>
        <v>PMF_M8_1_a</v>
      </c>
      <c r="B25">
        <f>'PMF c0 round0'!B25</f>
        <v>32</v>
      </c>
      <c r="C25">
        <f>'PMF c0 round0'!C25</f>
        <v>34</v>
      </c>
      <c r="D25">
        <f>'PMF c0 round0'!D25</f>
        <v>42</v>
      </c>
      <c r="E25" s="40">
        <f>'PMF c0 round0'!E25+2</f>
        <v>48</v>
      </c>
      <c r="F25" s="40">
        <f>'PMF c0 round0'!F25+2</f>
        <v>52</v>
      </c>
    </row>
    <row r="26" spans="1:6" x14ac:dyDescent="0.2">
      <c r="A26" t="str">
        <f>'PMF c0 round0'!A26</f>
        <v xml:space="preserve">PMF_M8_1_b </v>
      </c>
      <c r="B26">
        <f>'PMF c0 round0'!B26</f>
        <v>40</v>
      </c>
      <c r="C26">
        <f>'PMF c0 round0'!C26</f>
        <v>42</v>
      </c>
      <c r="D26">
        <f>'PMF c0 round0'!D26</f>
        <v>50</v>
      </c>
      <c r="E26" s="40">
        <f>'PMF c0 round0'!E26+2</f>
        <v>56</v>
      </c>
      <c r="F26" s="40">
        <f>'PMF c0 round0'!F26+2</f>
        <v>60</v>
      </c>
    </row>
    <row r="27" spans="1:6" x14ac:dyDescent="0.2">
      <c r="A27" t="str">
        <f>'PMF c0 round0'!A27</f>
        <v>PMF_F8_1</v>
      </c>
      <c r="B27">
        <f>'PMF c0 round0'!B27</f>
        <v>48</v>
      </c>
      <c r="C27">
        <f>'PMF c0 round0'!C27</f>
        <v>50</v>
      </c>
      <c r="D27">
        <f>'PMF c0 round0'!D27</f>
        <v>58</v>
      </c>
      <c r="E27" s="40">
        <f>'PMF c0 round0'!E27+2</f>
        <v>64</v>
      </c>
      <c r="F27" s="40">
        <f>'PMF c0 round0'!F27+2</f>
        <v>68</v>
      </c>
    </row>
    <row r="28" spans="1:6" x14ac:dyDescent="0.2">
      <c r="A28" t="str">
        <f>'PMF c0 round0'!A28</f>
        <v>PMF_F8_2</v>
      </c>
      <c r="B28">
        <f>'PMF c0 round0'!B28</f>
        <v>103</v>
      </c>
      <c r="C28">
        <f>'PMF c0 round0'!C28</f>
        <v>105</v>
      </c>
      <c r="D28">
        <f>'PMF c0 round0'!D28</f>
        <v>113</v>
      </c>
      <c r="E28" s="40">
        <f>'PMF c0 round0'!E28+2</f>
        <v>119</v>
      </c>
      <c r="F28" s="40">
        <f>'PMF c0 round0'!F28+2</f>
        <v>123</v>
      </c>
    </row>
    <row r="29" spans="1:6" x14ac:dyDescent="0.2">
      <c r="A29" t="str">
        <f>'PMF c0 round0'!A29</f>
        <v>PMF_M8_2_a</v>
      </c>
      <c r="B29">
        <f>'PMF c0 round0'!B29</f>
        <v>87</v>
      </c>
      <c r="C29">
        <f>'PMF c0 round0'!C29</f>
        <v>89</v>
      </c>
      <c r="D29">
        <f>'PMF c0 round0'!D29</f>
        <v>97</v>
      </c>
      <c r="E29" s="40">
        <f>'PMF c0 round0'!E29+2</f>
        <v>103</v>
      </c>
      <c r="F29" s="40">
        <f>'PMF c0 round0'!F29+2</f>
        <v>107</v>
      </c>
    </row>
    <row r="30" spans="1:6" x14ac:dyDescent="0.2">
      <c r="A30" t="str">
        <f>'PMF c0 round0'!A30</f>
        <v xml:space="preserve">PMF_M8_2_b </v>
      </c>
      <c r="B30">
        <f>'PMF c0 round0'!B30</f>
        <v>95</v>
      </c>
      <c r="C30">
        <f>'PMF c0 round0'!C30</f>
        <v>97</v>
      </c>
      <c r="D30">
        <f>'PMF c0 round0'!D30</f>
        <v>105</v>
      </c>
      <c r="E30" s="40">
        <f>'PMF c0 round0'!E30+2</f>
        <v>111</v>
      </c>
      <c r="F30" s="40">
        <f>'PMF c0 round0'!F30+2</f>
        <v>115</v>
      </c>
    </row>
    <row r="31" spans="1:6" x14ac:dyDescent="0.2">
      <c r="A31" t="str">
        <f>'PMF c0 round0'!A31</f>
        <v>PMF_M16_0_c</v>
      </c>
      <c r="B31">
        <f>'PMF c0 round0'!B31</f>
        <v>56</v>
      </c>
      <c r="C31">
        <f>'PMF c0 round0'!C31</f>
        <v>58</v>
      </c>
      <c r="D31">
        <f>'PMF c0 round0'!D31</f>
        <v>81</v>
      </c>
      <c r="E31">
        <f>'PMF c0 round0'!E31</f>
        <v>97</v>
      </c>
      <c r="F31">
        <f>'PMF c0 round0'!F31</f>
        <v>113</v>
      </c>
    </row>
    <row r="32" spans="1:6" x14ac:dyDescent="0.2">
      <c r="A32" t="str">
        <f>'PMF c0 round0'!A32</f>
        <v>PMF_M8_3_a</v>
      </c>
      <c r="B32">
        <f>'PMF c0 round0'!B32</f>
        <v>133</v>
      </c>
      <c r="C32">
        <f>'PMF c0 round0'!C32</f>
        <v>135</v>
      </c>
      <c r="D32">
        <f>'PMF c0 round0'!D32</f>
        <v>143</v>
      </c>
      <c r="E32" s="40">
        <f>'PMF c0 round0'!E32+2</f>
        <v>149</v>
      </c>
      <c r="F32" s="40">
        <f>'PMF c0 round0'!F32+2</f>
        <v>153</v>
      </c>
    </row>
    <row r="33" spans="1:6" x14ac:dyDescent="0.2">
      <c r="A33" t="str">
        <f>'PMF c0 round0'!A33</f>
        <v xml:space="preserve">PMF_M8_3_b </v>
      </c>
      <c r="B33">
        <f>'PMF c0 round0'!B33</f>
        <v>141</v>
      </c>
      <c r="C33">
        <f>'PMF c0 round0'!C33</f>
        <v>143</v>
      </c>
      <c r="D33">
        <f>'PMF c0 round0'!D33</f>
        <v>151</v>
      </c>
      <c r="E33" s="40">
        <f>'PMF c0 round0'!E33+2</f>
        <v>157</v>
      </c>
      <c r="F33" s="40">
        <f>'PMF c0 round0'!F33+2</f>
        <v>161</v>
      </c>
    </row>
    <row r="34" spans="1:6" x14ac:dyDescent="0.2">
      <c r="A34" t="str">
        <f>'PMF c0 round0'!A34</f>
        <v xml:space="preserve">PMF_F8_3 </v>
      </c>
      <c r="B34">
        <f>'PMF c0 round0'!B34</f>
        <v>149</v>
      </c>
      <c r="C34">
        <f>'PMF c0 round0'!C34</f>
        <v>151</v>
      </c>
      <c r="D34">
        <f>'PMF c0 round0'!D34</f>
        <v>159</v>
      </c>
      <c r="E34" s="40">
        <f>'PMF c0 round0'!E34+2</f>
        <v>165</v>
      </c>
      <c r="F34" s="40">
        <f>'PMF c0 round0'!F34+2</f>
        <v>169</v>
      </c>
    </row>
    <row r="35" spans="1:6" x14ac:dyDescent="0.2">
      <c r="A35">
        <f>'PMF c0 round0'!A35</f>
        <v>0</v>
      </c>
      <c r="B35">
        <f>'PMF c0 round0'!B35</f>
        <v>0</v>
      </c>
      <c r="C35">
        <f>'PMF c0 round0'!C35</f>
        <v>0</v>
      </c>
      <c r="D35">
        <f>'PMF c0 round0'!D35</f>
        <v>0</v>
      </c>
      <c r="E35">
        <f>'PMF c0 round0'!E35</f>
        <v>0</v>
      </c>
      <c r="F35">
        <f>'PMF c0 round0'!F35</f>
        <v>0</v>
      </c>
    </row>
    <row r="36" spans="1:6" x14ac:dyDescent="0.2">
      <c r="A36">
        <f>'PMF c0 round0'!A36</f>
        <v>0</v>
      </c>
      <c r="B36">
        <f>'PMF c0 round0'!B36</f>
        <v>0</v>
      </c>
      <c r="C36">
        <f>'PMF c0 round0'!C36</f>
        <v>0</v>
      </c>
      <c r="D36">
        <f>'PMF c0 round0'!D36</f>
        <v>0</v>
      </c>
      <c r="E36">
        <f>'PMF c0 round0'!E36</f>
        <v>0</v>
      </c>
      <c r="F36">
        <f>'PMF c0 round0'!F36</f>
        <v>0</v>
      </c>
    </row>
    <row r="37" spans="1:6" x14ac:dyDescent="0.2">
      <c r="A37">
        <f>'PMF c0 round0'!A37</f>
        <v>0</v>
      </c>
      <c r="B37">
        <f>'PMF c0 round0'!B37</f>
        <v>0</v>
      </c>
      <c r="C37">
        <f>'PMF c0 round0'!C37</f>
        <v>0</v>
      </c>
      <c r="D37">
        <f>'PMF c0 round0'!D37</f>
        <v>0</v>
      </c>
      <c r="E37">
        <f>'PMF c0 round0'!E37</f>
        <v>0</v>
      </c>
      <c r="F37">
        <f>'PMF c0 round0'!F37</f>
        <v>0</v>
      </c>
    </row>
    <row r="38" spans="1:6" x14ac:dyDescent="0.2">
      <c r="A38">
        <f>'PMF c0 round0'!A38</f>
        <v>0</v>
      </c>
      <c r="B38">
        <f>'PMF c0 round0'!B38</f>
        <v>0</v>
      </c>
      <c r="C38">
        <f>'PMF c0 round0'!C38</f>
        <v>0</v>
      </c>
      <c r="D38">
        <f>'PMF c0 round0'!D38</f>
        <v>0</v>
      </c>
      <c r="E38">
        <f>'PMF c0 round0'!E38</f>
        <v>0</v>
      </c>
      <c r="F38">
        <f>'PMF c0 round0'!F38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389-FFB6-4E7A-82E3-8B45521F4717}">
  <dimension ref="A1:F36"/>
  <sheetViews>
    <sheetView workbookViewId="0">
      <selection activeCell="G31" sqref="G31"/>
    </sheetView>
  </sheetViews>
  <sheetFormatPr defaultRowHeight="14.25" x14ac:dyDescent="0.2"/>
  <cols>
    <col min="1" max="1" width="21.5" customWidth="1"/>
    <col min="3" max="3" width="10.625" customWidth="1"/>
  </cols>
  <sheetData>
    <row r="1" spans="1:6" x14ac:dyDescent="0.2">
      <c r="A1" t="str">
        <f>'PMF c0 round1-3'!A1</f>
        <v>tile</v>
      </c>
      <c r="B1" t="str">
        <f>'PMF c0 round1-3'!B1</f>
        <v>PMF C0 Round 1-3</v>
      </c>
      <c r="C1">
        <f>'PMF c0 round1-3'!C1</f>
        <v>0</v>
      </c>
      <c r="D1">
        <f>'PMF c0 round1-3'!D1</f>
        <v>0</v>
      </c>
      <c r="E1">
        <f>'PMF c0 round1-3'!E1</f>
        <v>0</v>
      </c>
      <c r="F1">
        <f>'PMF c0 round1-3'!F1</f>
        <v>0</v>
      </c>
    </row>
    <row r="2" spans="1:6" x14ac:dyDescent="0.2">
      <c r="A2" t="str">
        <f>'PMF c0 round1-3'!A2</f>
        <v>x</v>
      </c>
      <c r="B2" t="str">
        <f>'PMF c0 round1-3'!B2</f>
        <v>CYCLE</v>
      </c>
      <c r="C2">
        <f>'PMF c0 round1-3'!C2</f>
        <v>0</v>
      </c>
      <c r="D2">
        <f>'PMF c0 round1-3'!D2</f>
        <v>0</v>
      </c>
      <c r="E2">
        <f>'PMF c0 round1-3'!E2</f>
        <v>0</v>
      </c>
      <c r="F2">
        <f>'PMF c0 round1-3'!F2</f>
        <v>0</v>
      </c>
    </row>
    <row r="3" spans="1:6" x14ac:dyDescent="0.2">
      <c r="A3" t="str">
        <f>'PMF c0 round1-3'!A3</f>
        <v>y</v>
      </c>
      <c r="B3" t="str">
        <f>'PMF c0 round1-3'!B3</f>
        <v>MODE</v>
      </c>
      <c r="C3">
        <f>'PMF c0 round1-3'!C3</f>
        <v>0</v>
      </c>
      <c r="D3">
        <f>'PMF c0 round1-3'!D3</f>
        <v>0</v>
      </c>
      <c r="E3">
        <f>'PMF c0 round1-3'!E3</f>
        <v>0</v>
      </c>
      <c r="F3">
        <f>'PMF c0 round1-3'!F3</f>
        <v>0</v>
      </c>
    </row>
    <row r="4" spans="1:6" x14ac:dyDescent="0.2">
      <c r="A4" t="str">
        <f>'PMF c0 round1-3'!A4</f>
        <v>mode</v>
      </c>
      <c r="B4" t="str">
        <f>'PMF c0 round1-3'!B4</f>
        <v>pipe begin</v>
      </c>
      <c r="C4" t="str">
        <f>'PMF c0 round1-3'!C4</f>
        <v>input begin</v>
      </c>
      <c r="D4" t="str">
        <f>'PMF c0 round1-3'!D4</f>
        <v>input end</v>
      </c>
      <c r="E4" t="str">
        <f>'PMF c0 round1-3'!E4</f>
        <v>output begin</v>
      </c>
      <c r="F4" t="str">
        <f>'PMF c0 round1-3'!F4</f>
        <v>output end</v>
      </c>
    </row>
    <row r="5" spans="1:6" x14ac:dyDescent="0.2">
      <c r="A5" t="str">
        <f>'PMF c0 round1-3'!A6</f>
        <v>PMF_M8_0_a</v>
      </c>
      <c r="B5">
        <f>'PMF c0 round1-3'!B6</f>
        <v>202</v>
      </c>
      <c r="C5">
        <f>'PMF c0 round1-3'!C6</f>
        <v>204</v>
      </c>
      <c r="D5">
        <f>'PMF c0 round1-3'!D6</f>
        <v>212</v>
      </c>
      <c r="E5" s="40">
        <f>'PMF c0 round1-3'!E6+2</f>
        <v>218</v>
      </c>
      <c r="F5" s="40">
        <f>'PMF c0 round1-3'!F6+2</f>
        <v>222</v>
      </c>
    </row>
    <row r="6" spans="1:6" x14ac:dyDescent="0.2">
      <c r="A6" t="str">
        <f>'PMF c0 round1-3'!A7</f>
        <v xml:space="preserve">PMF_M8_0_b </v>
      </c>
      <c r="B6">
        <f>'PMF c0 round1-3'!B7</f>
        <v>210</v>
      </c>
      <c r="C6">
        <f>'PMF c0 round1-3'!C7</f>
        <v>212</v>
      </c>
      <c r="D6">
        <f>'PMF c0 round1-3'!D7</f>
        <v>220</v>
      </c>
      <c r="E6" s="40">
        <f>'PMF c0 round1-3'!E7+2</f>
        <v>226</v>
      </c>
      <c r="F6" s="40">
        <f>'PMF c0 round1-3'!F7+2</f>
        <v>230</v>
      </c>
    </row>
    <row r="7" spans="1:6" x14ac:dyDescent="0.2">
      <c r="A7" t="str">
        <f>'PMF c0 round1-3'!A8</f>
        <v xml:space="preserve">PMF_F8_0 </v>
      </c>
      <c r="B7">
        <f>'PMF c0 round1-3'!B8</f>
        <v>218</v>
      </c>
      <c r="C7">
        <f>'PMF c0 round1-3'!C8</f>
        <v>220</v>
      </c>
      <c r="D7">
        <f>'PMF c0 round1-3'!D8</f>
        <v>228</v>
      </c>
      <c r="E7" s="40">
        <f>'PMF c0 round1-3'!E8+2</f>
        <v>234</v>
      </c>
      <c r="F7" s="40">
        <f>'PMF c0 round1-3'!F8+2</f>
        <v>238</v>
      </c>
    </row>
    <row r="8" spans="1:6" x14ac:dyDescent="0.2">
      <c r="A8" t="str">
        <f>'PMF c0 round1-3'!A9</f>
        <v xml:space="preserve">PMF_M8_0_c </v>
      </c>
      <c r="B8">
        <f>'PMF c0 round1-3'!B9</f>
        <v>226</v>
      </c>
      <c r="C8">
        <f>'PMF c0 round1-3'!C9</f>
        <v>228</v>
      </c>
      <c r="D8">
        <f>'PMF c0 round1-3'!D9</f>
        <v>236</v>
      </c>
      <c r="E8" s="40">
        <f>'PMF c0 round1-3'!E9+2</f>
        <v>242</v>
      </c>
      <c r="F8" s="40">
        <f>'PMF c0 round1-3'!F9+2</f>
        <v>246</v>
      </c>
    </row>
    <row r="9" spans="1:6" x14ac:dyDescent="0.2">
      <c r="A9" t="str">
        <f>'PMF c0 round1-3'!A10</f>
        <v xml:space="preserve">TQITQ_M8 </v>
      </c>
      <c r="B9">
        <f>'PMF c0 round1-3'!B10</f>
        <v>0</v>
      </c>
      <c r="C9">
        <f>'PMF c0 round1-3'!C10</f>
        <v>240</v>
      </c>
      <c r="D9">
        <f>'PMF c0 round1-3'!D10</f>
        <v>240</v>
      </c>
      <c r="E9">
        <f>'PMF c0 round1-3'!E10</f>
        <v>259</v>
      </c>
      <c r="F9">
        <f>'PMF c0 round1-3'!F10</f>
        <v>259</v>
      </c>
    </row>
    <row r="10" spans="1:6" x14ac:dyDescent="0.2">
      <c r="A10" t="str">
        <f>'PMF c0 round1-3'!A11</f>
        <v xml:space="preserve">INTER_PK8 </v>
      </c>
      <c r="B10">
        <f>'PMF c0 round1-3'!B11</f>
        <v>0</v>
      </c>
      <c r="C10">
        <f>'PMF c0 round1-3'!C11</f>
        <v>259</v>
      </c>
      <c r="D10">
        <f>'PMF c0 round1-3'!D11</f>
        <v>260</v>
      </c>
      <c r="E10">
        <f>'PMF c0 round1-3'!E11</f>
        <v>261</v>
      </c>
      <c r="F10">
        <f>'PMF c0 round1-3'!F11</f>
        <v>262</v>
      </c>
    </row>
    <row r="11" spans="1:6" x14ac:dyDescent="0.2">
      <c r="A11" t="str">
        <f>'PMF c0 round1-3'!A12</f>
        <v xml:space="preserve">SEL_PK8 </v>
      </c>
      <c r="B11">
        <f>'PMF c0 round1-3'!B12</f>
        <v>0</v>
      </c>
      <c r="C11">
        <f>'PMF c0 round1-3'!C12</f>
        <v>262</v>
      </c>
      <c r="D11">
        <f>'PMF c0 round1-3'!D12</f>
        <v>263</v>
      </c>
      <c r="E11">
        <f>'PMF c0 round1-3'!E12</f>
        <v>264</v>
      </c>
      <c r="F11">
        <f>'PMF c0 round1-3'!F12</f>
        <v>268</v>
      </c>
    </row>
    <row r="12" spans="1:6" x14ac:dyDescent="0.2">
      <c r="A12" t="str">
        <f>'PMF c0 round1-3'!A13</f>
        <v xml:space="preserve">PMF_M8_1_c </v>
      </c>
      <c r="B12">
        <f>'PMF c0 round1-3'!B13</f>
        <v>281</v>
      </c>
      <c r="C12">
        <f>'PMF c0 round1-3'!C13</f>
        <v>283</v>
      </c>
      <c r="D12">
        <f>'PMF c0 round1-3'!D13</f>
        <v>291</v>
      </c>
      <c r="E12" s="40">
        <f>'PMF c0 round1-3'!E13+2</f>
        <v>297</v>
      </c>
      <c r="F12" s="40">
        <f>'PMF c0 round1-3'!F13+2</f>
        <v>301</v>
      </c>
    </row>
    <row r="13" spans="1:6" x14ac:dyDescent="0.2">
      <c r="A13" t="str">
        <f>'PMF c0 round1-3'!A14</f>
        <v xml:space="preserve">TQITQ_M8 </v>
      </c>
      <c r="B13">
        <f>'PMF c0 round1-3'!B14</f>
        <v>0</v>
      </c>
      <c r="C13">
        <f>'PMF c0 round1-3'!C14</f>
        <v>295</v>
      </c>
      <c r="D13">
        <f>'PMF c0 round1-3'!D14</f>
        <v>295</v>
      </c>
      <c r="E13">
        <f>'PMF c0 round1-3'!E14</f>
        <v>314</v>
      </c>
      <c r="F13">
        <f>'PMF c0 round1-3'!F14</f>
        <v>314</v>
      </c>
    </row>
    <row r="14" spans="1:6" x14ac:dyDescent="0.2">
      <c r="A14" t="str">
        <f>'PMF c0 round1-3'!A15</f>
        <v xml:space="preserve">INTER_PK8 </v>
      </c>
      <c r="B14">
        <f>'PMF c0 round1-3'!B15</f>
        <v>0</v>
      </c>
      <c r="C14">
        <f>'PMF c0 round1-3'!C15</f>
        <v>314</v>
      </c>
      <c r="D14">
        <f>'PMF c0 round1-3'!D15</f>
        <v>315</v>
      </c>
      <c r="E14">
        <f>'PMF c0 round1-3'!E15</f>
        <v>316</v>
      </c>
      <c r="F14">
        <f>'PMF c0 round1-3'!F15</f>
        <v>317</v>
      </c>
    </row>
    <row r="15" spans="1:6" x14ac:dyDescent="0.2">
      <c r="A15" t="str">
        <f>'PMF c0 round1-3'!A16</f>
        <v xml:space="preserve">SEL_PK8 </v>
      </c>
      <c r="B15">
        <f>'PMF c0 round1-3'!B16</f>
        <v>0</v>
      </c>
      <c r="C15">
        <f>'PMF c0 round1-3'!C16</f>
        <v>317</v>
      </c>
      <c r="D15">
        <f>'PMF c0 round1-3'!D16</f>
        <v>318</v>
      </c>
      <c r="E15">
        <f>'PMF c0 round1-3'!E16</f>
        <v>319</v>
      </c>
      <c r="F15">
        <f>'PMF c0 round1-3'!F16</f>
        <v>323</v>
      </c>
    </row>
    <row r="16" spans="1:6" x14ac:dyDescent="0.2">
      <c r="A16" t="str">
        <f>'PMF c0 round1-3'!A17</f>
        <v xml:space="preserve">PMF_M8_2_c </v>
      </c>
      <c r="B16">
        <f>'PMF c0 round1-3'!B17</f>
        <v>323</v>
      </c>
      <c r="C16">
        <f>'PMF c0 round1-3'!C17</f>
        <v>325</v>
      </c>
      <c r="D16">
        <f>'PMF c0 round1-3'!D17</f>
        <v>333</v>
      </c>
      <c r="E16" s="40">
        <f>'PMF c0 round1-3'!E17+1</f>
        <v>338</v>
      </c>
      <c r="F16" s="40">
        <f>'PMF c0 round1-3'!F17+1</f>
        <v>342</v>
      </c>
    </row>
    <row r="17" spans="1:6" x14ac:dyDescent="0.2">
      <c r="A17" t="str">
        <f>'PMF c0 round1-3'!A18</f>
        <v xml:space="preserve">TQITQ_M8 </v>
      </c>
      <c r="B17">
        <f>'PMF c0 round1-3'!B18</f>
        <v>0</v>
      </c>
      <c r="C17">
        <f>'PMF c0 round1-3'!C18</f>
        <v>337</v>
      </c>
      <c r="D17">
        <f>'PMF c0 round1-3'!D18</f>
        <v>337</v>
      </c>
      <c r="E17">
        <f>'PMF c0 round1-3'!E18</f>
        <v>356</v>
      </c>
      <c r="F17">
        <f>'PMF c0 round1-3'!F18</f>
        <v>356</v>
      </c>
    </row>
    <row r="18" spans="1:6" x14ac:dyDescent="0.2">
      <c r="A18" t="str">
        <f>'PMF c0 round1-3'!A19</f>
        <v xml:space="preserve">INTER_PK8 </v>
      </c>
      <c r="B18">
        <f>'PMF c0 round1-3'!B19</f>
        <v>0</v>
      </c>
      <c r="C18">
        <f>'PMF c0 round1-3'!C19</f>
        <v>356</v>
      </c>
      <c r="D18">
        <f>'PMF c0 round1-3'!D19</f>
        <v>357</v>
      </c>
      <c r="E18">
        <f>'PMF c0 round1-3'!E19</f>
        <v>358</v>
      </c>
      <c r="F18">
        <f>'PMF c0 round1-3'!F19</f>
        <v>359</v>
      </c>
    </row>
    <row r="19" spans="1:6" x14ac:dyDescent="0.2">
      <c r="A19" t="str">
        <f>'PMF c0 round1-3'!A20</f>
        <v xml:space="preserve">SEL_PK8 </v>
      </c>
      <c r="B19">
        <f>'PMF c0 round1-3'!B20</f>
        <v>0</v>
      </c>
      <c r="C19">
        <f>'PMF c0 round1-3'!C20</f>
        <v>359</v>
      </c>
      <c r="D19">
        <f>'PMF c0 round1-3'!D20</f>
        <v>360</v>
      </c>
      <c r="E19">
        <f>'PMF c0 round1-3'!E20</f>
        <v>361</v>
      </c>
      <c r="F19">
        <f>'PMF c0 round1-3'!F20</f>
        <v>365</v>
      </c>
    </row>
    <row r="20" spans="1:6" x14ac:dyDescent="0.2">
      <c r="A20" t="str">
        <f>'PMF c0 round1-3'!A21</f>
        <v xml:space="preserve">PMF_M8_3_c </v>
      </c>
      <c r="B20">
        <f>'PMF c0 round1-3'!B21</f>
        <v>365</v>
      </c>
      <c r="C20">
        <f>'PMF c0 round1-3'!C21</f>
        <v>367</v>
      </c>
      <c r="D20">
        <f>'PMF c0 round1-3'!D21</f>
        <v>375</v>
      </c>
      <c r="E20" s="41">
        <f>'PMF c0 round1-3'!E21+5</f>
        <v>384</v>
      </c>
      <c r="F20" s="41">
        <f>'PMF c0 round1-3'!F21+5</f>
        <v>388</v>
      </c>
    </row>
    <row r="21" spans="1:6" x14ac:dyDescent="0.2">
      <c r="A21" t="str">
        <f>'PMF c0 round1-3'!A22</f>
        <v xml:space="preserve">TQITQ_F8 </v>
      </c>
      <c r="B21">
        <f>'PMF c0 round1-3'!B22</f>
        <v>0</v>
      </c>
      <c r="C21">
        <f>'PMF c0 round1-3'!C22</f>
        <v>379</v>
      </c>
      <c r="D21">
        <f>'PMF c0 round1-3'!D22</f>
        <v>379</v>
      </c>
      <c r="E21">
        <f>'PMF c0 round1-3'!E22</f>
        <v>398</v>
      </c>
      <c r="F21">
        <f>'PMF c0 round1-3'!F22</f>
        <v>398</v>
      </c>
    </row>
    <row r="22" spans="1:6" x14ac:dyDescent="0.2">
      <c r="A22" t="str">
        <f>'PMF c0 round1-3'!A23</f>
        <v xml:space="preserve">INTER_PK8 </v>
      </c>
      <c r="B22">
        <f>'PMF c0 round1-3'!B23</f>
        <v>0</v>
      </c>
      <c r="C22">
        <f>'PMF c0 round1-3'!C23</f>
        <v>398</v>
      </c>
      <c r="D22">
        <f>'PMF c0 round1-3'!D23</f>
        <v>399</v>
      </c>
      <c r="E22">
        <f>'PMF c0 round1-3'!E23</f>
        <v>400</v>
      </c>
      <c r="F22">
        <f>'PMF c0 round1-3'!F23</f>
        <v>401</v>
      </c>
    </row>
    <row r="23" spans="1:6" x14ac:dyDescent="0.2">
      <c r="A23" t="str">
        <f>'PMF c0 round1-3'!A24</f>
        <v xml:space="preserve">SEL_PK8 </v>
      </c>
      <c r="B23">
        <f>'PMF c0 round1-3'!B24</f>
        <v>0</v>
      </c>
      <c r="C23">
        <f>'PMF c0 round1-3'!C24</f>
        <v>401</v>
      </c>
      <c r="D23">
        <f>'PMF c0 round1-3'!D24</f>
        <v>402</v>
      </c>
      <c r="E23">
        <f>'PMF c0 round1-3'!E24</f>
        <v>403</v>
      </c>
      <c r="F23">
        <f>'PMF c0 round1-3'!F24</f>
        <v>407</v>
      </c>
    </row>
    <row r="24" spans="1:6" x14ac:dyDescent="0.2">
      <c r="A24" t="str">
        <f>'PMF c0 round1-3'!A25</f>
        <v>PMF_M8_1_a</v>
      </c>
      <c r="B24">
        <f>'PMF c0 round1-3'!B25</f>
        <v>234</v>
      </c>
      <c r="C24">
        <f>'PMF c0 round1-3'!C25</f>
        <v>236</v>
      </c>
      <c r="D24">
        <f>'PMF c0 round1-3'!D25</f>
        <v>244</v>
      </c>
      <c r="E24" s="40">
        <f>'PMF c0 round1-3'!E25+2</f>
        <v>250</v>
      </c>
      <c r="F24" s="40">
        <f>'PMF c0 round1-3'!F25+2</f>
        <v>254</v>
      </c>
    </row>
    <row r="25" spans="1:6" x14ac:dyDescent="0.2">
      <c r="A25" t="str">
        <f>'PMF c0 round1-3'!A26</f>
        <v xml:space="preserve">PMF_M8_1_b </v>
      </c>
      <c r="B25">
        <f>'PMF c0 round1-3'!B26</f>
        <v>242</v>
      </c>
      <c r="C25">
        <f>'PMF c0 round1-3'!C26</f>
        <v>244</v>
      </c>
      <c r="D25">
        <f>'PMF c0 round1-3'!D26</f>
        <v>252</v>
      </c>
      <c r="E25" s="40">
        <f>'PMF c0 round1-3'!E26+2</f>
        <v>258</v>
      </c>
      <c r="F25" s="40">
        <f>'PMF c0 round1-3'!F26+2</f>
        <v>262</v>
      </c>
    </row>
    <row r="26" spans="1:6" x14ac:dyDescent="0.2">
      <c r="A26" t="str">
        <f>'PMF c0 round1-3'!A27</f>
        <v xml:space="preserve">PMF_F8_1 </v>
      </c>
      <c r="B26">
        <f>'PMF c0 round1-3'!B27</f>
        <v>250</v>
      </c>
      <c r="C26">
        <f>'PMF c0 round1-3'!C27</f>
        <v>252</v>
      </c>
      <c r="D26">
        <f>'PMF c0 round1-3'!D27</f>
        <v>260</v>
      </c>
      <c r="E26" s="40">
        <f>'PMF c0 round1-3'!E27+2</f>
        <v>266</v>
      </c>
      <c r="F26" s="40">
        <f>'PMF c0 round1-3'!F27+2</f>
        <v>270</v>
      </c>
    </row>
    <row r="27" spans="1:6" x14ac:dyDescent="0.2">
      <c r="A27" t="str">
        <f>'PMF c0 round1-3'!A28</f>
        <v>PMF_F8_2</v>
      </c>
      <c r="B27">
        <f>'PMF c0 round1-3'!B28</f>
        <v>305</v>
      </c>
      <c r="C27">
        <f>'PMF c0 round1-3'!C28</f>
        <v>307</v>
      </c>
      <c r="D27">
        <f>'PMF c0 round1-3'!D28</f>
        <v>315</v>
      </c>
      <c r="E27" s="40">
        <f>'PMF c0 round1-3'!E28+2</f>
        <v>321</v>
      </c>
      <c r="F27" s="40">
        <f>'PMF c0 round1-3'!F28+2</f>
        <v>325</v>
      </c>
    </row>
    <row r="28" spans="1:6" x14ac:dyDescent="0.2">
      <c r="A28" t="str">
        <f>'PMF c0 round1-3'!A29</f>
        <v>PMF_M8_2_a</v>
      </c>
      <c r="B28">
        <f>'PMF c0 round1-3'!B29</f>
        <v>289</v>
      </c>
      <c r="C28">
        <f>'PMF c0 round1-3'!C29</f>
        <v>291</v>
      </c>
      <c r="D28">
        <f>'PMF c0 round1-3'!D29</f>
        <v>299</v>
      </c>
      <c r="E28" s="40">
        <f>'PMF c0 round1-3'!E29+2</f>
        <v>305</v>
      </c>
      <c r="F28" s="40">
        <f>'PMF c0 round1-3'!F29+2</f>
        <v>309</v>
      </c>
    </row>
    <row r="29" spans="1:6" x14ac:dyDescent="0.2">
      <c r="A29" t="str">
        <f>'PMF c0 round1-3'!A30</f>
        <v xml:space="preserve">PMF_M8_2_b </v>
      </c>
      <c r="B29">
        <f>'PMF c0 round1-3'!B30</f>
        <v>297</v>
      </c>
      <c r="C29">
        <f>'PMF c0 round1-3'!C30</f>
        <v>299</v>
      </c>
      <c r="D29">
        <f>'PMF c0 round1-3'!D30</f>
        <v>307</v>
      </c>
      <c r="E29" s="40">
        <f>'PMF c0 round1-3'!E30+2</f>
        <v>313</v>
      </c>
      <c r="F29" s="40">
        <f>'PMF c0 round1-3'!F30+2</f>
        <v>317</v>
      </c>
    </row>
    <row r="30" spans="1:6" x14ac:dyDescent="0.2">
      <c r="A30" t="str">
        <f>'PMF c0 round1-3'!A31</f>
        <v>PMF_M16_1_c</v>
      </c>
      <c r="B30">
        <f>'PMF c0 round1-3'!B31</f>
        <v>258</v>
      </c>
      <c r="C30">
        <f>'PMF c0 round1-3'!C31</f>
        <v>260</v>
      </c>
      <c r="D30">
        <f>'PMF c0 round1-3'!D31</f>
        <v>283</v>
      </c>
      <c r="E30">
        <f>'PMF c0 round1-3'!E31</f>
        <v>299</v>
      </c>
      <c r="F30">
        <f>'PMF c0 round1-3'!F31</f>
        <v>315</v>
      </c>
    </row>
    <row r="31" spans="1:6" x14ac:dyDescent="0.2">
      <c r="A31" t="str">
        <f>'PMF c0 round1-3'!A32</f>
        <v>PMF_M8_3_a</v>
      </c>
      <c r="B31">
        <f>'PMF c0 round1-3'!B32</f>
        <v>331</v>
      </c>
      <c r="C31">
        <f>'PMF c0 round1-3'!C32</f>
        <v>333</v>
      </c>
      <c r="D31">
        <f>'PMF c0 round1-3'!D32</f>
        <v>341</v>
      </c>
      <c r="E31" s="40">
        <f>'PMF c0 round1-3'!E32+2</f>
        <v>347</v>
      </c>
      <c r="F31" s="40">
        <f>'PMF c0 round1-3'!F32+2</f>
        <v>351</v>
      </c>
    </row>
    <row r="32" spans="1:6" x14ac:dyDescent="0.2">
      <c r="A32" t="str">
        <f>'PMF c0 round1-3'!A33</f>
        <v xml:space="preserve">PMF_M8_3_b </v>
      </c>
      <c r="B32">
        <f>'PMF c0 round1-3'!B33</f>
        <v>339</v>
      </c>
      <c r="C32">
        <f>'PMF c0 round1-3'!C33</f>
        <v>341</v>
      </c>
      <c r="D32">
        <f>'PMF c0 round1-3'!D33</f>
        <v>349</v>
      </c>
      <c r="E32" s="40">
        <f>'PMF c0 round1-3'!E33+2</f>
        <v>355</v>
      </c>
      <c r="F32" s="40">
        <f>'PMF c0 round1-3'!F33+2</f>
        <v>359</v>
      </c>
    </row>
    <row r="33" spans="1:6" x14ac:dyDescent="0.2">
      <c r="A33" t="str">
        <f>'PMF c0 round1-3'!A34</f>
        <v xml:space="preserve">PMF_F8_3 </v>
      </c>
      <c r="B33">
        <f>'PMF c0 round1-3'!B34</f>
        <v>347</v>
      </c>
      <c r="C33">
        <f>'PMF c0 round1-3'!C34</f>
        <v>349</v>
      </c>
      <c r="D33">
        <f>'PMF c0 round1-3'!D34</f>
        <v>357</v>
      </c>
      <c r="E33" s="40">
        <f>'PMF c0 round1-3'!E34+2</f>
        <v>363</v>
      </c>
      <c r="F33" s="40">
        <f>'PMF c0 round1-3'!F34+2</f>
        <v>367</v>
      </c>
    </row>
    <row r="34" spans="1:6" x14ac:dyDescent="0.2">
      <c r="A34">
        <f>'PMF c0 round1-3'!A35</f>
        <v>0</v>
      </c>
      <c r="B34">
        <f>'PMF c0 round1-3'!B35</f>
        <v>0</v>
      </c>
      <c r="C34">
        <f>'PMF c0 round1-3'!C35</f>
        <v>0</v>
      </c>
      <c r="D34">
        <f>'PMF c0 round1-3'!D35</f>
        <v>0</v>
      </c>
      <c r="E34">
        <f>'PMF c0 round1-3'!E35</f>
        <v>0</v>
      </c>
      <c r="F34">
        <f>'PMF c0 round1-3'!F35</f>
        <v>0</v>
      </c>
    </row>
    <row r="35" spans="1:6" x14ac:dyDescent="0.2">
      <c r="A35">
        <f>'PMF c0 round1-3'!A36</f>
        <v>0</v>
      </c>
      <c r="B35">
        <f>'PMF c0 round1-3'!B36</f>
        <v>0</v>
      </c>
      <c r="C35">
        <f>'PMF c0 round1-3'!C36</f>
        <v>0</v>
      </c>
      <c r="D35">
        <f>'PMF c0 round1-3'!D36</f>
        <v>0</v>
      </c>
      <c r="E35">
        <f>'PMF c0 round1-3'!E36</f>
        <v>0</v>
      </c>
      <c r="F35">
        <f>'PMF c0 round1-3'!F36</f>
        <v>0</v>
      </c>
    </row>
    <row r="36" spans="1:6" x14ac:dyDescent="0.2">
      <c r="A36">
        <f>'PMF c0 round1-3'!A37</f>
        <v>0</v>
      </c>
      <c r="B36">
        <f>'PMF c0 round1-3'!B37</f>
        <v>0</v>
      </c>
      <c r="C36">
        <f>'PMF c0 round1-3'!C37</f>
        <v>0</v>
      </c>
      <c r="D36">
        <f>'PMF c0 round1-3'!D37</f>
        <v>0</v>
      </c>
      <c r="E36">
        <f>'PMF c0 round1-3'!E37</f>
        <v>0</v>
      </c>
      <c r="F36">
        <f>'PMF c0 round1-3'!F37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22B-E97D-444F-8BBA-4F33D9EFBAF8}">
  <dimension ref="A1:AB34"/>
  <sheetViews>
    <sheetView workbookViewId="0">
      <selection activeCell="I23" sqref="I23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52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202</v>
      </c>
      <c r="B5">
        <f>'PMF c0 round0'!D20-2</f>
        <v>179</v>
      </c>
      <c r="C5">
        <f>B5+$Y$2</f>
        <v>181</v>
      </c>
      <c r="D5">
        <f>C5+$Z$2</f>
        <v>204</v>
      </c>
      <c r="E5">
        <f>D5+$AA$2</f>
        <v>196</v>
      </c>
      <c r="F5">
        <f>E5+$AB$2</f>
        <v>212</v>
      </c>
    </row>
    <row r="6" spans="1:28" x14ac:dyDescent="0.2">
      <c r="A6" t="s">
        <v>29</v>
      </c>
      <c r="B6">
        <f>D5-2</f>
        <v>202</v>
      </c>
      <c r="C6">
        <f>B6+$P$2</f>
        <v>204</v>
      </c>
      <c r="D6">
        <f>C6+$Q$2</f>
        <v>212</v>
      </c>
      <c r="E6">
        <f>D6+$R$2</f>
        <v>216</v>
      </c>
      <c r="F6">
        <f>E6+$S$2</f>
        <v>220</v>
      </c>
    </row>
    <row r="7" spans="1:28" x14ac:dyDescent="0.2">
      <c r="A7" t="s">
        <v>30</v>
      </c>
      <c r="B7">
        <f>B6+8</f>
        <v>210</v>
      </c>
      <c r="C7">
        <f t="shared" ref="C7:C9" si="0">B7+$P$2</f>
        <v>212</v>
      </c>
      <c r="D7">
        <f t="shared" ref="D7:D9" si="1">C7+$Q$2</f>
        <v>220</v>
      </c>
      <c r="E7">
        <f t="shared" ref="E7:E9" si="2">D7+$R$2</f>
        <v>224</v>
      </c>
      <c r="F7">
        <f t="shared" ref="F7:F9" si="3">E7+$S$2</f>
        <v>228</v>
      </c>
    </row>
    <row r="8" spans="1:28" x14ac:dyDescent="0.2">
      <c r="A8" t="s">
        <v>53</v>
      </c>
      <c r="B8">
        <f>B7+8</f>
        <v>218</v>
      </c>
      <c r="C8">
        <f>B8+$P$2</f>
        <v>220</v>
      </c>
      <c r="D8">
        <f>C8+$Q$2</f>
        <v>228</v>
      </c>
      <c r="E8">
        <f>D8+$R$2</f>
        <v>232</v>
      </c>
      <c r="F8">
        <f>E8+$S$2</f>
        <v>236</v>
      </c>
    </row>
    <row r="9" spans="1:28" x14ac:dyDescent="0.2">
      <c r="A9" t="s">
        <v>31</v>
      </c>
      <c r="B9">
        <f>D8-2</f>
        <v>226</v>
      </c>
      <c r="C9">
        <f t="shared" si="0"/>
        <v>228</v>
      </c>
      <c r="D9">
        <f t="shared" si="1"/>
        <v>236</v>
      </c>
      <c r="E9">
        <f t="shared" si="2"/>
        <v>240</v>
      </c>
      <c r="F9">
        <f t="shared" si="3"/>
        <v>244</v>
      </c>
    </row>
    <row r="10" spans="1:28" x14ac:dyDescent="0.2">
      <c r="A10" t="s">
        <v>48</v>
      </c>
      <c r="C10">
        <f>E9</f>
        <v>240</v>
      </c>
      <c r="D10">
        <f>C10+$U$2</f>
        <v>240</v>
      </c>
      <c r="E10">
        <f>D10+$V$2</f>
        <v>259</v>
      </c>
      <c r="F10">
        <f>E10+$W$2</f>
        <v>259</v>
      </c>
    </row>
    <row r="11" spans="1:28" x14ac:dyDescent="0.2">
      <c r="A11" t="s">
        <v>33</v>
      </c>
      <c r="C11">
        <f>F10</f>
        <v>259</v>
      </c>
      <c r="D11">
        <f>C11+$H$2</f>
        <v>260</v>
      </c>
      <c r="E11">
        <f>D11+$I$2</f>
        <v>261</v>
      </c>
      <c r="F11">
        <f>E11+$J$2</f>
        <v>262</v>
      </c>
    </row>
    <row r="12" spans="1:28" x14ac:dyDescent="0.2">
      <c r="A12" t="s">
        <v>34</v>
      </c>
      <c r="C12">
        <f>F11</f>
        <v>262</v>
      </c>
      <c r="D12">
        <f>C12+$L$2</f>
        <v>263</v>
      </c>
      <c r="E12">
        <f>D12+$M$2</f>
        <v>264</v>
      </c>
      <c r="F12">
        <f>E12+$N$2</f>
        <v>268</v>
      </c>
    </row>
    <row r="13" spans="1:28" x14ac:dyDescent="0.2">
      <c r="A13" t="s">
        <v>44</v>
      </c>
      <c r="B13">
        <f>D31-2</f>
        <v>281</v>
      </c>
      <c r="C13">
        <f>B13+$P$2</f>
        <v>283</v>
      </c>
      <c r="D13">
        <f>C13+$Q$2</f>
        <v>291</v>
      </c>
      <c r="E13">
        <f>D13+$R$2</f>
        <v>295</v>
      </c>
      <c r="F13">
        <f>E13+$S$2</f>
        <v>299</v>
      </c>
    </row>
    <row r="14" spans="1:28" x14ac:dyDescent="0.2">
      <c r="A14" t="s">
        <v>48</v>
      </c>
      <c r="C14">
        <f>E13</f>
        <v>295</v>
      </c>
      <c r="D14">
        <f>C14+$U$2</f>
        <v>295</v>
      </c>
      <c r="E14">
        <f>D14+$V$2</f>
        <v>314</v>
      </c>
      <c r="F14">
        <f>E14+$W$2</f>
        <v>314</v>
      </c>
    </row>
    <row r="15" spans="1:28" x14ac:dyDescent="0.2">
      <c r="A15" t="s">
        <v>33</v>
      </c>
      <c r="C15">
        <f>F14</f>
        <v>314</v>
      </c>
      <c r="D15">
        <f>C15+$H$2</f>
        <v>315</v>
      </c>
      <c r="E15">
        <f>D15+$I$2</f>
        <v>316</v>
      </c>
      <c r="F15">
        <f>E15+$J$2</f>
        <v>317</v>
      </c>
    </row>
    <row r="16" spans="1:28" x14ac:dyDescent="0.2">
      <c r="A16" t="s">
        <v>34</v>
      </c>
      <c r="C16">
        <f>F15</f>
        <v>317</v>
      </c>
      <c r="D16">
        <f>C16+$L$2</f>
        <v>318</v>
      </c>
      <c r="E16">
        <f>D16+$M$2</f>
        <v>319</v>
      </c>
      <c r="F16">
        <f>E16+$N$2</f>
        <v>323</v>
      </c>
    </row>
    <row r="17" spans="1:6" x14ac:dyDescent="0.2">
      <c r="A17" t="s">
        <v>38</v>
      </c>
      <c r="B17">
        <f>F16</f>
        <v>323</v>
      </c>
      <c r="C17">
        <f>B17+$P$2</f>
        <v>325</v>
      </c>
      <c r="D17">
        <f>C17+$Q$2</f>
        <v>333</v>
      </c>
      <c r="E17">
        <f>D17+$R$2</f>
        <v>337</v>
      </c>
      <c r="F17">
        <f>E17+$S$2</f>
        <v>341</v>
      </c>
    </row>
    <row r="18" spans="1:6" x14ac:dyDescent="0.2">
      <c r="A18" t="s">
        <v>37</v>
      </c>
      <c r="C18">
        <f>E17</f>
        <v>337</v>
      </c>
      <c r="D18">
        <f>C18+$U$2</f>
        <v>337</v>
      </c>
      <c r="E18">
        <f>D18+$V$2</f>
        <v>356</v>
      </c>
      <c r="F18">
        <f>E18+$W$2</f>
        <v>356</v>
      </c>
    </row>
    <row r="19" spans="1:6" x14ac:dyDescent="0.2">
      <c r="A19" t="s">
        <v>33</v>
      </c>
      <c r="C19">
        <f>F18</f>
        <v>356</v>
      </c>
      <c r="D19">
        <f>C19+$H$2</f>
        <v>357</v>
      </c>
      <c r="E19">
        <f>D19+$I$2</f>
        <v>358</v>
      </c>
      <c r="F19">
        <f>E19+$J$2</f>
        <v>359</v>
      </c>
    </row>
    <row r="20" spans="1:6" x14ac:dyDescent="0.2">
      <c r="A20" t="s">
        <v>34</v>
      </c>
      <c r="C20">
        <f>F19</f>
        <v>359</v>
      </c>
      <c r="D20">
        <f>C20+$L$2</f>
        <v>360</v>
      </c>
      <c r="E20">
        <f>D20+$M$2</f>
        <v>361</v>
      </c>
      <c r="F20">
        <f>E20+$N$2</f>
        <v>365</v>
      </c>
    </row>
    <row r="21" spans="1:6" x14ac:dyDescent="0.2">
      <c r="A21" t="s">
        <v>42</v>
      </c>
      <c r="B21">
        <f>F20</f>
        <v>365</v>
      </c>
      <c r="C21">
        <f>B21+$P$2</f>
        <v>367</v>
      </c>
      <c r="D21">
        <f>C21+$Q$2</f>
        <v>375</v>
      </c>
      <c r="E21">
        <f>D21+$R$2</f>
        <v>379</v>
      </c>
      <c r="F21">
        <f>E21+$S$2</f>
        <v>383</v>
      </c>
    </row>
    <row r="22" spans="1:6" x14ac:dyDescent="0.2">
      <c r="A22" t="s">
        <v>32</v>
      </c>
      <c r="C22">
        <f>E21</f>
        <v>379</v>
      </c>
      <c r="D22">
        <f>C22+$U$2</f>
        <v>379</v>
      </c>
      <c r="E22">
        <f>D22+$V$2</f>
        <v>398</v>
      </c>
      <c r="F22">
        <f>E22+$W$2</f>
        <v>398</v>
      </c>
    </row>
    <row r="23" spans="1:6" x14ac:dyDescent="0.2">
      <c r="A23" t="s">
        <v>33</v>
      </c>
      <c r="C23">
        <f>F22</f>
        <v>398</v>
      </c>
      <c r="D23">
        <f>C23+$H$2</f>
        <v>399</v>
      </c>
      <c r="E23">
        <f>D23+$I$2</f>
        <v>400</v>
      </c>
      <c r="F23">
        <f>E23+$J$2</f>
        <v>401</v>
      </c>
    </row>
    <row r="24" spans="1:6" x14ac:dyDescent="0.2">
      <c r="A24" t="s">
        <v>34</v>
      </c>
      <c r="C24">
        <f>F23</f>
        <v>401</v>
      </c>
      <c r="D24">
        <f>C24+$L$2</f>
        <v>402</v>
      </c>
      <c r="E24">
        <f>D24+$M$2</f>
        <v>403</v>
      </c>
      <c r="F24">
        <f>E24+$N$2</f>
        <v>407</v>
      </c>
    </row>
    <row r="25" spans="1:6" x14ac:dyDescent="0.2">
      <c r="A25" t="s">
        <v>43</v>
      </c>
      <c r="B25">
        <f>D9-2</f>
        <v>234</v>
      </c>
      <c r="C25">
        <f t="shared" ref="C25:C26" si="4">B25+$P$2</f>
        <v>236</v>
      </c>
      <c r="D25">
        <f t="shared" ref="D25:D26" si="5">C25+$Q$2</f>
        <v>244</v>
      </c>
      <c r="E25">
        <f t="shared" ref="E25:E26" si="6">D25+$R$2</f>
        <v>248</v>
      </c>
      <c r="F25">
        <f t="shared" ref="F25:F26" si="7">E25+$S$2</f>
        <v>252</v>
      </c>
    </row>
    <row r="26" spans="1:6" x14ac:dyDescent="0.2">
      <c r="A26" t="s">
        <v>35</v>
      </c>
      <c r="B26">
        <f>B25+8</f>
        <v>242</v>
      </c>
      <c r="C26">
        <f t="shared" si="4"/>
        <v>244</v>
      </c>
      <c r="D26">
        <f t="shared" si="5"/>
        <v>252</v>
      </c>
      <c r="E26">
        <f t="shared" si="6"/>
        <v>256</v>
      </c>
      <c r="F26">
        <f t="shared" si="7"/>
        <v>260</v>
      </c>
    </row>
    <row r="27" spans="1:6" x14ac:dyDescent="0.2">
      <c r="A27" t="s">
        <v>47</v>
      </c>
      <c r="B27">
        <f>B26+8</f>
        <v>250</v>
      </c>
      <c r="C27">
        <f>B27+$P$2</f>
        <v>252</v>
      </c>
      <c r="D27">
        <f>C27+$Q$2</f>
        <v>260</v>
      </c>
      <c r="E27">
        <f>D27+$R$2</f>
        <v>264</v>
      </c>
      <c r="F27">
        <f>E27+$S$2</f>
        <v>268</v>
      </c>
    </row>
    <row r="28" spans="1:6" x14ac:dyDescent="0.2">
      <c r="A28" t="s">
        <v>49</v>
      </c>
      <c r="B28">
        <f>D30-2</f>
        <v>305</v>
      </c>
      <c r="C28">
        <f>B28+$P$2</f>
        <v>307</v>
      </c>
      <c r="D28">
        <f>C28+$Q$2</f>
        <v>315</v>
      </c>
      <c r="E28">
        <f>D28+$R$2</f>
        <v>319</v>
      </c>
      <c r="F28">
        <f>E28+$S$2</f>
        <v>323</v>
      </c>
    </row>
    <row r="29" spans="1:6" x14ac:dyDescent="0.2">
      <c r="A29" t="s">
        <v>45</v>
      </c>
      <c r="B29">
        <f>B13+8</f>
        <v>289</v>
      </c>
      <c r="C29">
        <f>B29+$P$2</f>
        <v>291</v>
      </c>
      <c r="D29">
        <f>C29+$Q$2</f>
        <v>299</v>
      </c>
      <c r="E29">
        <f>D29+$R$2</f>
        <v>303</v>
      </c>
      <c r="F29">
        <f>E29+$S$2</f>
        <v>307</v>
      </c>
    </row>
    <row r="30" spans="1:6" x14ac:dyDescent="0.2">
      <c r="A30" t="s">
        <v>46</v>
      </c>
      <c r="B30">
        <f>B29+8</f>
        <v>297</v>
      </c>
      <c r="C30">
        <f>B30+$P$2</f>
        <v>299</v>
      </c>
      <c r="D30">
        <f>C30+$Q$2</f>
        <v>307</v>
      </c>
      <c r="E30">
        <f>D30+$R$2</f>
        <v>311</v>
      </c>
      <c r="F30">
        <f>E30+$S$2</f>
        <v>315</v>
      </c>
    </row>
    <row r="31" spans="1:6" x14ac:dyDescent="0.2">
      <c r="A31" t="s">
        <v>518</v>
      </c>
      <c r="B31">
        <f>D27-2</f>
        <v>258</v>
      </c>
      <c r="C31">
        <f>B31+$Y$2</f>
        <v>260</v>
      </c>
      <c r="D31">
        <f>C31+$Z$2</f>
        <v>283</v>
      </c>
      <c r="E31" s="42">
        <f>D31+$AA$2+24</f>
        <v>299</v>
      </c>
      <c r="F31" s="42">
        <f>E31+$AB$2</f>
        <v>315</v>
      </c>
    </row>
    <row r="32" spans="1:6" x14ac:dyDescent="0.2">
      <c r="A32" t="s">
        <v>39</v>
      </c>
      <c r="B32">
        <f>D17-2</f>
        <v>331</v>
      </c>
      <c r="C32">
        <f>B32+$P$2</f>
        <v>333</v>
      </c>
      <c r="D32">
        <f>C32+$Q$2</f>
        <v>341</v>
      </c>
      <c r="E32">
        <f>D32+$R$2</f>
        <v>345</v>
      </c>
      <c r="F32">
        <f>E32+$S$2</f>
        <v>349</v>
      </c>
    </row>
    <row r="33" spans="1:6" x14ac:dyDescent="0.2">
      <c r="A33" t="s">
        <v>40</v>
      </c>
      <c r="B33">
        <f>B32+8</f>
        <v>339</v>
      </c>
      <c r="C33">
        <f>B33+$P$2</f>
        <v>341</v>
      </c>
      <c r="D33">
        <f>C33+$Q$2</f>
        <v>349</v>
      </c>
      <c r="E33">
        <f>D33+$R$2</f>
        <v>353</v>
      </c>
      <c r="F33">
        <f>E33+$S$2</f>
        <v>357</v>
      </c>
    </row>
    <row r="34" spans="1:6" x14ac:dyDescent="0.2">
      <c r="A34" t="s">
        <v>41</v>
      </c>
      <c r="B34">
        <f>D33-2</f>
        <v>347</v>
      </c>
      <c r="C34">
        <f>B34+$P$2</f>
        <v>349</v>
      </c>
      <c r="D34">
        <f>C34+$Q$2</f>
        <v>357</v>
      </c>
      <c r="E34">
        <f>D34+$R$2</f>
        <v>361</v>
      </c>
      <c r="F34">
        <f>E34+$S$2</f>
        <v>365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2D1-4B94-487D-B28D-6E027395071B}">
  <dimension ref="A1:AB22"/>
  <sheetViews>
    <sheetView workbookViewId="0">
      <selection activeCell="M28" sqref="M28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154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v0!A81</f>
        <v>2</v>
      </c>
      <c r="Q2">
        <f>v0!B81</f>
        <v>78</v>
      </c>
      <c r="R2">
        <f>v0!C81</f>
        <v>-24</v>
      </c>
      <c r="S2">
        <f>v0!D81</f>
        <v>64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179</v>
      </c>
      <c r="B5">
        <v>0</v>
      </c>
      <c r="C5">
        <f>B5+$Y$2</f>
        <v>2</v>
      </c>
      <c r="D5">
        <f>C5+$Z$2</f>
        <v>25</v>
      </c>
      <c r="E5">
        <f>D5+$AA$2</f>
        <v>17</v>
      </c>
      <c r="F5">
        <f>E5+$AB$2</f>
        <v>33</v>
      </c>
    </row>
    <row r="6" spans="1:28" x14ac:dyDescent="0.2">
      <c r="A6" t="s">
        <v>180</v>
      </c>
      <c r="B6">
        <f t="shared" ref="B6:B9" si="0">D5-2</f>
        <v>23</v>
      </c>
      <c r="C6">
        <f>B6+$Y$2</f>
        <v>25</v>
      </c>
      <c r="D6">
        <f>C6+$Z$2</f>
        <v>48</v>
      </c>
      <c r="E6">
        <f>D6+$AA$2</f>
        <v>40</v>
      </c>
      <c r="F6">
        <f>E6+$AB$2</f>
        <v>56</v>
      </c>
    </row>
    <row r="7" spans="1:28" x14ac:dyDescent="0.2">
      <c r="A7" t="s">
        <v>186</v>
      </c>
      <c r="B7">
        <f t="shared" ref="B7" si="1">D6-2</f>
        <v>46</v>
      </c>
      <c r="C7">
        <f>B7+$Y$2</f>
        <v>48</v>
      </c>
      <c r="D7">
        <f>C7+$Z$2</f>
        <v>71</v>
      </c>
      <c r="E7" s="42">
        <f>D7+$AA$2</f>
        <v>63</v>
      </c>
      <c r="F7" s="42">
        <f>E7+$AB$2</f>
        <v>79</v>
      </c>
    </row>
    <row r="8" spans="1:28" x14ac:dyDescent="0.2">
      <c r="A8" t="s">
        <v>310</v>
      </c>
      <c r="B8">
        <f>D7-2</f>
        <v>69</v>
      </c>
      <c r="C8">
        <f>B8+$P$2</f>
        <v>71</v>
      </c>
      <c r="D8">
        <f>C8+$Q$2</f>
        <v>149</v>
      </c>
      <c r="E8">
        <f>D8+$R$2</f>
        <v>125</v>
      </c>
      <c r="F8">
        <f>E8+$S$2</f>
        <v>189</v>
      </c>
    </row>
    <row r="9" spans="1:28" x14ac:dyDescent="0.2">
      <c r="A9" t="s">
        <v>311</v>
      </c>
      <c r="B9">
        <f t="shared" si="0"/>
        <v>147</v>
      </c>
      <c r="C9">
        <f>B9+$P$2</f>
        <v>149</v>
      </c>
      <c r="D9">
        <f>C9+$Q$2</f>
        <v>227</v>
      </c>
      <c r="E9">
        <f>D9+$R$2</f>
        <v>203</v>
      </c>
      <c r="F9">
        <f>E9+$S$2</f>
        <v>267</v>
      </c>
    </row>
    <row r="14" spans="1:28" x14ac:dyDescent="0.2">
      <c r="E14" s="40"/>
      <c r="F14" s="40"/>
    </row>
    <row r="18" spans="1:11" x14ac:dyDescent="0.2">
      <c r="E18" s="40"/>
      <c r="F18" s="40"/>
    </row>
    <row r="19" spans="1:11" s="1" customFormat="1" x14ac:dyDescent="0.2">
      <c r="A19"/>
      <c r="B19"/>
      <c r="C19"/>
      <c r="D19"/>
      <c r="E19" s="40"/>
      <c r="F19" s="40"/>
      <c r="H19"/>
      <c r="I19"/>
      <c r="J19"/>
      <c r="K19"/>
    </row>
    <row r="21" spans="1:11" x14ac:dyDescent="0.2">
      <c r="A21" s="1"/>
      <c r="B21" s="1"/>
      <c r="C21" s="1"/>
      <c r="D21" s="1"/>
      <c r="E21" s="1"/>
      <c r="F21" s="1"/>
    </row>
    <row r="22" spans="1:11" x14ac:dyDescent="0.2">
      <c r="A22" s="1"/>
      <c r="B22" s="1"/>
      <c r="C22" s="1"/>
      <c r="D22" s="1"/>
      <c r="E22" s="1"/>
      <c r="F2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35D-8E9C-49DD-90BB-C1E547C10ACE}">
  <dimension ref="A1:AB15"/>
  <sheetViews>
    <sheetView tabSelected="1" zoomScale="85" zoomScaleNormal="85" workbookViewId="0">
      <selection activeCell="J19" sqref="J19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195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v0!A81</f>
        <v>2</v>
      </c>
      <c r="Q2">
        <f>v0!B81</f>
        <v>78</v>
      </c>
      <c r="R2">
        <f>v0!C81</f>
        <v>-24</v>
      </c>
      <c r="S2">
        <f>v0!D81</f>
        <v>64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185</v>
      </c>
      <c r="B5">
        <v>225</v>
      </c>
      <c r="C5">
        <f>B5+$Y$2</f>
        <v>227</v>
      </c>
      <c r="D5">
        <f>C5+$Z$2</f>
        <v>250</v>
      </c>
      <c r="E5">
        <f>D5+$AA$2</f>
        <v>242</v>
      </c>
      <c r="F5">
        <f>E5+$AB$2</f>
        <v>258</v>
      </c>
    </row>
    <row r="6" spans="1:28" x14ac:dyDescent="0.2">
      <c r="A6" t="s">
        <v>519</v>
      </c>
      <c r="B6">
        <f t="shared" ref="B6:B13" si="0">D5-2</f>
        <v>248</v>
      </c>
      <c r="C6">
        <f>B6+$Y$2</f>
        <v>250</v>
      </c>
      <c r="D6">
        <f>C6+$Z$2</f>
        <v>273</v>
      </c>
      <c r="E6" s="42">
        <f>D6+$AA$2</f>
        <v>265</v>
      </c>
      <c r="F6" s="42">
        <f>E6+$AB$2</f>
        <v>281</v>
      </c>
    </row>
    <row r="7" spans="1:28" x14ac:dyDescent="0.2">
      <c r="A7" t="s">
        <v>155</v>
      </c>
      <c r="B7">
        <f>D6-2</f>
        <v>271</v>
      </c>
      <c r="C7">
        <f>B7+$P$2</f>
        <v>273</v>
      </c>
      <c r="D7">
        <f>C7+$Q$2</f>
        <v>351</v>
      </c>
      <c r="E7" s="42">
        <f>D7+$R$2+64</f>
        <v>391</v>
      </c>
      <c r="F7" s="42">
        <f>E7+$S$2</f>
        <v>455</v>
      </c>
    </row>
    <row r="8" spans="1:28" x14ac:dyDescent="0.2">
      <c r="A8" t="s">
        <v>184</v>
      </c>
      <c r="B8">
        <f>D7-2</f>
        <v>349</v>
      </c>
      <c r="C8">
        <f>B8+$Y$2</f>
        <v>351</v>
      </c>
      <c r="D8">
        <f>C8+$Z$2</f>
        <v>374</v>
      </c>
      <c r="E8">
        <f>D8+$AA$2</f>
        <v>366</v>
      </c>
      <c r="F8">
        <f>E8+$AB$2</f>
        <v>382</v>
      </c>
    </row>
    <row r="9" spans="1:28" x14ac:dyDescent="0.2">
      <c r="A9" t="s">
        <v>520</v>
      </c>
      <c r="B9">
        <f>D8-2</f>
        <v>372</v>
      </c>
      <c r="C9">
        <f>B9+$Y$2</f>
        <v>374</v>
      </c>
      <c r="D9">
        <f>C9+$Z$2</f>
        <v>397</v>
      </c>
      <c r="E9" s="42">
        <f>D9+$AA$2</f>
        <v>389</v>
      </c>
      <c r="F9" s="42">
        <f>E9+$AB$2</f>
        <v>405</v>
      </c>
    </row>
    <row r="10" spans="1:28" x14ac:dyDescent="0.2">
      <c r="A10" t="s">
        <v>196</v>
      </c>
      <c r="B10" s="45">
        <f>D9-2</f>
        <v>395</v>
      </c>
      <c r="C10">
        <f>B10+$P$2</f>
        <v>397</v>
      </c>
      <c r="D10">
        <f>C10+$Q$2</f>
        <v>475</v>
      </c>
      <c r="E10" s="62">
        <f>D10+$R$2+64</f>
        <v>515</v>
      </c>
      <c r="F10" s="44">
        <f>E10+$S$2</f>
        <v>579</v>
      </c>
    </row>
    <row r="11" spans="1:28" x14ac:dyDescent="0.2">
      <c r="A11" t="s">
        <v>156</v>
      </c>
      <c r="B11">
        <f t="shared" si="0"/>
        <v>473</v>
      </c>
      <c r="C11">
        <f>B11+$P$2</f>
        <v>475</v>
      </c>
      <c r="D11">
        <f>C11+$Q$2</f>
        <v>553</v>
      </c>
      <c r="E11" s="62">
        <f>D11+$R$2+67</f>
        <v>596</v>
      </c>
      <c r="F11" s="44">
        <f>E11+$S$2</f>
        <v>660</v>
      </c>
    </row>
    <row r="12" spans="1:28" x14ac:dyDescent="0.2">
      <c r="A12" s="1" t="s">
        <v>182</v>
      </c>
      <c r="B12" s="1">
        <f>D11-2</f>
        <v>551</v>
      </c>
      <c r="C12" s="1">
        <f>B12+$Y$2</f>
        <v>553</v>
      </c>
      <c r="D12" s="1">
        <f>C12+$Z$2</f>
        <v>576</v>
      </c>
      <c r="E12" s="1">
        <f>D12+$AA$2</f>
        <v>568</v>
      </c>
      <c r="F12" s="1">
        <f>E12+$AB$2</f>
        <v>584</v>
      </c>
    </row>
    <row r="13" spans="1:28" x14ac:dyDescent="0.2">
      <c r="A13" s="1" t="s">
        <v>197</v>
      </c>
      <c r="B13" s="1">
        <f t="shared" si="0"/>
        <v>574</v>
      </c>
      <c r="C13" s="1">
        <f>B13+$Y$2</f>
        <v>576</v>
      </c>
      <c r="D13" s="1">
        <f>C13+$Z$2</f>
        <v>599</v>
      </c>
      <c r="E13" s="43">
        <f>D13+$AA$2</f>
        <v>591</v>
      </c>
      <c r="F13" s="43">
        <f>E13+$AB$2</f>
        <v>607</v>
      </c>
    </row>
    <row r="14" spans="1:28" x14ac:dyDescent="0.2">
      <c r="A14" s="2" t="s">
        <v>521</v>
      </c>
      <c r="E14">
        <f>F9</f>
        <v>405</v>
      </c>
      <c r="F14">
        <f>E14+16</f>
        <v>421</v>
      </c>
    </row>
    <row r="15" spans="1:28" s="1" customFormat="1" x14ac:dyDescent="0.2">
      <c r="A15" s="2" t="s">
        <v>183</v>
      </c>
      <c r="B15"/>
      <c r="C15"/>
      <c r="D15"/>
      <c r="E15">
        <f>F13</f>
        <v>607</v>
      </c>
      <c r="F15">
        <f>E15+16</f>
        <v>623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626-4856-4809-BCBC-22045DDF3972}">
  <dimension ref="A1:AB34"/>
  <sheetViews>
    <sheetView workbookViewId="0">
      <selection activeCell="M24" sqref="M24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  <col min="16" max="16" width="10.75" customWidth="1"/>
    <col min="17" max="17" width="10.625" customWidth="1"/>
    <col min="18" max="18" width="11.25" customWidth="1"/>
  </cols>
  <sheetData>
    <row r="1" spans="1:28" x14ac:dyDescent="0.2">
      <c r="A1" t="s">
        <v>0</v>
      </c>
      <c r="B1" t="s">
        <v>152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8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205</v>
      </c>
      <c r="B5">
        <v>0</v>
      </c>
      <c r="C5">
        <f>B5+$P$2</f>
        <v>2</v>
      </c>
      <c r="D5">
        <f>C5+$Q$2</f>
        <v>10</v>
      </c>
      <c r="E5">
        <f>D5+$R$2</f>
        <v>12</v>
      </c>
      <c r="F5">
        <f>E5+$S$2</f>
        <v>14</v>
      </c>
    </row>
    <row r="6" spans="1:28" x14ac:dyDescent="0.2">
      <c r="A6" t="s">
        <v>131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20</v>
      </c>
      <c r="F6">
        <f t="shared" ref="F6:F8" si="3">E6+$S$2</f>
        <v>22</v>
      </c>
    </row>
    <row r="7" spans="1:28" x14ac:dyDescent="0.2">
      <c r="A7" t="s">
        <v>132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28</v>
      </c>
      <c r="F7">
        <f t="shared" si="3"/>
        <v>30</v>
      </c>
    </row>
    <row r="8" spans="1:28" x14ac:dyDescent="0.2">
      <c r="A8" t="s">
        <v>143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36</v>
      </c>
      <c r="F8">
        <f t="shared" si="3"/>
        <v>38</v>
      </c>
    </row>
    <row r="9" spans="1:28" x14ac:dyDescent="0.2">
      <c r="A9" t="s">
        <v>144</v>
      </c>
      <c r="C9">
        <f>E8</f>
        <v>36</v>
      </c>
      <c r="D9">
        <f>C9+$U$2</f>
        <v>36</v>
      </c>
      <c r="E9">
        <f>D9+$V$2</f>
        <v>48</v>
      </c>
      <c r="F9">
        <f>E9+$W$2</f>
        <v>48</v>
      </c>
    </row>
    <row r="10" spans="1:28" x14ac:dyDescent="0.2">
      <c r="A10" t="s">
        <v>148</v>
      </c>
      <c r="C10">
        <f>F9</f>
        <v>48</v>
      </c>
      <c r="D10">
        <f>C10+$H$2</f>
        <v>49</v>
      </c>
      <c r="E10">
        <f>D10+$I$2</f>
        <v>50</v>
      </c>
      <c r="F10">
        <f>E10+$J$2</f>
        <v>51</v>
      </c>
    </row>
    <row r="11" spans="1:28" x14ac:dyDescent="0.2">
      <c r="A11" t="s">
        <v>149</v>
      </c>
      <c r="C11">
        <f>F10</f>
        <v>51</v>
      </c>
      <c r="D11">
        <f>C11+$L$2</f>
        <v>52</v>
      </c>
      <c r="E11">
        <f>D11+$M$2</f>
        <v>53</v>
      </c>
      <c r="F11">
        <f>E11+$N$2</f>
        <v>57</v>
      </c>
    </row>
    <row r="12" spans="1:28" x14ac:dyDescent="0.2">
      <c r="A12" t="s">
        <v>133</v>
      </c>
      <c r="B12">
        <f>'PMF c0 round0'!B12</f>
        <v>79</v>
      </c>
      <c r="C12">
        <f>B12+$P$2</f>
        <v>81</v>
      </c>
      <c r="D12">
        <f>C12+$Q$2</f>
        <v>89</v>
      </c>
      <c r="E12">
        <f>D12+$R$2</f>
        <v>91</v>
      </c>
      <c r="F12">
        <f>E12+$S$2</f>
        <v>93</v>
      </c>
    </row>
    <row r="13" spans="1:28" x14ac:dyDescent="0.2">
      <c r="A13" t="s">
        <v>134</v>
      </c>
      <c r="C13">
        <f>E12</f>
        <v>91</v>
      </c>
      <c r="D13">
        <f>C13+$U$2</f>
        <v>91</v>
      </c>
      <c r="E13">
        <f>D13+$V$2</f>
        <v>103</v>
      </c>
      <c r="F13">
        <f>E13+$W$2</f>
        <v>103</v>
      </c>
    </row>
    <row r="14" spans="1:28" x14ac:dyDescent="0.2">
      <c r="A14" t="s">
        <v>148</v>
      </c>
      <c r="C14">
        <f>F13</f>
        <v>103</v>
      </c>
      <c r="D14">
        <f>C14+$H$2</f>
        <v>104</v>
      </c>
      <c r="E14">
        <f>D14+$I$2</f>
        <v>105</v>
      </c>
      <c r="F14">
        <f>E14+$J$2</f>
        <v>106</v>
      </c>
    </row>
    <row r="15" spans="1:28" x14ac:dyDescent="0.2">
      <c r="A15" t="s">
        <v>149</v>
      </c>
      <c r="C15">
        <f>F14</f>
        <v>106</v>
      </c>
      <c r="D15">
        <f>C15+$L$2</f>
        <v>107</v>
      </c>
      <c r="E15">
        <f>D15+$M$2</f>
        <v>108</v>
      </c>
      <c r="F15">
        <f>E15+$N$2</f>
        <v>112</v>
      </c>
    </row>
    <row r="16" spans="1:28" x14ac:dyDescent="0.2">
      <c r="A16" t="s">
        <v>135</v>
      </c>
      <c r="B16">
        <f>'PMF c0 round0'!B16</f>
        <v>125</v>
      </c>
      <c r="C16">
        <f>B16+$P$2</f>
        <v>127</v>
      </c>
      <c r="D16">
        <f>C16+$Q$2</f>
        <v>135</v>
      </c>
      <c r="E16">
        <f>D16+$R$2</f>
        <v>137</v>
      </c>
      <c r="F16">
        <f>E16+$S$2</f>
        <v>139</v>
      </c>
    </row>
    <row r="17" spans="1:6" x14ac:dyDescent="0.2">
      <c r="A17" t="s">
        <v>134</v>
      </c>
      <c r="C17">
        <f>E16</f>
        <v>137</v>
      </c>
      <c r="D17">
        <f>C17+$U$2</f>
        <v>137</v>
      </c>
      <c r="E17">
        <f>D17+$V$2</f>
        <v>149</v>
      </c>
      <c r="F17">
        <f>E17+$W$2</f>
        <v>149</v>
      </c>
    </row>
    <row r="18" spans="1:6" x14ac:dyDescent="0.2">
      <c r="A18" t="s">
        <v>148</v>
      </c>
      <c r="C18">
        <f>F17</f>
        <v>149</v>
      </c>
      <c r="D18">
        <f>C18+$H$2</f>
        <v>150</v>
      </c>
      <c r="E18">
        <f>D18+$I$2</f>
        <v>151</v>
      </c>
      <c r="F18">
        <f>E18+$J$2</f>
        <v>152</v>
      </c>
    </row>
    <row r="19" spans="1:6" x14ac:dyDescent="0.2">
      <c r="A19" t="s">
        <v>149</v>
      </c>
      <c r="C19">
        <f>F18</f>
        <v>152</v>
      </c>
      <c r="D19">
        <f>C19+$L$2</f>
        <v>153</v>
      </c>
      <c r="E19">
        <f>D19+$M$2</f>
        <v>154</v>
      </c>
      <c r="F19">
        <f>E19+$N$2</f>
        <v>158</v>
      </c>
    </row>
    <row r="20" spans="1:6" x14ac:dyDescent="0.2">
      <c r="A20" t="s">
        <v>136</v>
      </c>
      <c r="B20">
        <f>'PMF c0 round0'!B20</f>
        <v>171</v>
      </c>
      <c r="C20">
        <f>B20+$P$2</f>
        <v>173</v>
      </c>
      <c r="D20">
        <f>C20+$Q$2</f>
        <v>181</v>
      </c>
      <c r="E20">
        <f>D20+$R$2</f>
        <v>183</v>
      </c>
      <c r="F20">
        <f>E20+$S$2</f>
        <v>185</v>
      </c>
    </row>
    <row r="21" spans="1:6" x14ac:dyDescent="0.2">
      <c r="A21" t="s">
        <v>144</v>
      </c>
      <c r="C21">
        <f>E20</f>
        <v>183</v>
      </c>
      <c r="D21">
        <f>C21+$U$2</f>
        <v>183</v>
      </c>
      <c r="E21">
        <f>D21+$V$2</f>
        <v>195</v>
      </c>
      <c r="F21">
        <f>E21+$W$2</f>
        <v>195</v>
      </c>
    </row>
    <row r="22" spans="1:6" x14ac:dyDescent="0.2">
      <c r="A22" t="s">
        <v>148</v>
      </c>
      <c r="C22">
        <f>F21</f>
        <v>195</v>
      </c>
      <c r="D22">
        <f>C22+$H$2</f>
        <v>196</v>
      </c>
      <c r="E22">
        <f>D22+$I$2</f>
        <v>197</v>
      </c>
      <c r="F22">
        <f>E22+$J$2</f>
        <v>198</v>
      </c>
    </row>
    <row r="23" spans="1:6" x14ac:dyDescent="0.2">
      <c r="A23" t="s">
        <v>149</v>
      </c>
      <c r="C23">
        <f>F22</f>
        <v>198</v>
      </c>
      <c r="D23">
        <f>C23+$L$2</f>
        <v>199</v>
      </c>
      <c r="E23">
        <f>D23+$M$2</f>
        <v>200</v>
      </c>
      <c r="F23">
        <f>E23+$N$2</f>
        <v>204</v>
      </c>
    </row>
    <row r="24" spans="1:6" x14ac:dyDescent="0.2">
      <c r="A24" t="s">
        <v>22</v>
      </c>
      <c r="D24">
        <f>F23</f>
        <v>204</v>
      </c>
      <c r="E24">
        <f>D24+7</f>
        <v>211</v>
      </c>
      <c r="F24">
        <f>E24+1</f>
        <v>212</v>
      </c>
    </row>
    <row r="25" spans="1:6" x14ac:dyDescent="0.2">
      <c r="A25" t="s">
        <v>137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44</v>
      </c>
      <c r="F25">
        <f t="shared" ref="F25:F26" si="7">E25+$S$2</f>
        <v>46</v>
      </c>
    </row>
    <row r="26" spans="1:6" x14ac:dyDescent="0.2">
      <c r="A26" t="s">
        <v>138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52</v>
      </c>
      <c r="F26">
        <f t="shared" si="7"/>
        <v>54</v>
      </c>
    </row>
    <row r="27" spans="1:6" x14ac:dyDescent="0.2">
      <c r="A27" t="s">
        <v>145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60</v>
      </c>
      <c r="F27">
        <f>E27+$S$2</f>
        <v>62</v>
      </c>
    </row>
    <row r="28" spans="1:6" x14ac:dyDescent="0.2">
      <c r="A28" t="s">
        <v>146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115</v>
      </c>
      <c r="F28">
        <f>E28+$S$2</f>
        <v>117</v>
      </c>
    </row>
    <row r="29" spans="1:6" x14ac:dyDescent="0.2">
      <c r="A29" t="s">
        <v>139</v>
      </c>
      <c r="B29">
        <f>B12+8</f>
        <v>87</v>
      </c>
      <c r="C29">
        <f>B29+$P$2</f>
        <v>89</v>
      </c>
      <c r="D29">
        <f>C29+$Q$2</f>
        <v>97</v>
      </c>
      <c r="E29">
        <f>D29+$R$2</f>
        <v>99</v>
      </c>
      <c r="F29">
        <f>E29+$S$2</f>
        <v>101</v>
      </c>
    </row>
    <row r="30" spans="1:6" x14ac:dyDescent="0.2">
      <c r="A30" t="s">
        <v>140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107</v>
      </c>
      <c r="F30">
        <f>E30+$S$2</f>
        <v>109</v>
      </c>
    </row>
    <row r="31" spans="1:6" x14ac:dyDescent="0.2">
      <c r="A31" t="s">
        <v>189</v>
      </c>
      <c r="B31">
        <f>D27-2</f>
        <v>56</v>
      </c>
      <c r="C31">
        <f>B31+$Y$2</f>
        <v>58</v>
      </c>
      <c r="D31">
        <f>C31+$Z$2</f>
        <v>80</v>
      </c>
      <c r="E31">
        <f>D31+$AA$2</f>
        <v>80</v>
      </c>
      <c r="F31">
        <f>E31+$AB$2</f>
        <v>88</v>
      </c>
    </row>
    <row r="32" spans="1:6" x14ac:dyDescent="0.2">
      <c r="A32" t="s">
        <v>141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145</v>
      </c>
      <c r="F32">
        <f>E32+$S$2</f>
        <v>147</v>
      </c>
    </row>
    <row r="33" spans="1:6" x14ac:dyDescent="0.2">
      <c r="A33" t="s">
        <v>142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153</v>
      </c>
      <c r="F33">
        <f>E33+$S$2</f>
        <v>155</v>
      </c>
    </row>
    <row r="34" spans="1:6" x14ac:dyDescent="0.2">
      <c r="A34" t="s">
        <v>147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161</v>
      </c>
      <c r="F34">
        <f>E34+$S$2</f>
        <v>163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E0C-CAEA-452F-9B6F-FDBECCDE339D}">
  <dimension ref="A1:AB35"/>
  <sheetViews>
    <sheetView workbookViewId="0">
      <selection activeCell="B6" sqref="B6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</cols>
  <sheetData>
    <row r="1" spans="1:28" x14ac:dyDescent="0.2">
      <c r="A1" t="s">
        <v>0</v>
      </c>
      <c r="B1" t="s">
        <v>178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8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43</v>
      </c>
      <c r="B5">
        <f>'PMF c0 round1-3'!B5+1</f>
        <v>180</v>
      </c>
      <c r="C5">
        <f>B5+$Y$2</f>
        <v>182</v>
      </c>
      <c r="D5">
        <f>C5+$Z$2</f>
        <v>204</v>
      </c>
      <c r="E5">
        <f>D5+$AA$2</f>
        <v>204</v>
      </c>
      <c r="F5">
        <f>E5+$AB$2</f>
        <v>212</v>
      </c>
    </row>
    <row r="6" spans="1:28" x14ac:dyDescent="0.2">
      <c r="A6" t="s">
        <v>130</v>
      </c>
      <c r="B6">
        <f>D5-2</f>
        <v>202</v>
      </c>
      <c r="C6">
        <f>B6+$P$2</f>
        <v>204</v>
      </c>
      <c r="D6">
        <f>C6+$Q$2</f>
        <v>212</v>
      </c>
      <c r="E6">
        <f>D6+$R$2</f>
        <v>214</v>
      </c>
      <c r="F6">
        <f>E6+$S$2</f>
        <v>216</v>
      </c>
    </row>
    <row r="7" spans="1:28" x14ac:dyDescent="0.2">
      <c r="A7" t="s">
        <v>131</v>
      </c>
      <c r="B7">
        <f>B6+8</f>
        <v>210</v>
      </c>
      <c r="C7">
        <f t="shared" ref="C7:C9" si="0">B7+$P$2</f>
        <v>212</v>
      </c>
      <c r="D7">
        <f t="shared" ref="D7:D9" si="1">C7+$Q$2</f>
        <v>220</v>
      </c>
      <c r="E7">
        <f t="shared" ref="E7:E9" si="2">D7+$R$2</f>
        <v>222</v>
      </c>
      <c r="F7">
        <f t="shared" ref="F7:F9" si="3">E7+$S$2</f>
        <v>224</v>
      </c>
    </row>
    <row r="8" spans="1:28" x14ac:dyDescent="0.2">
      <c r="A8" t="s">
        <v>143</v>
      </c>
      <c r="B8">
        <f>D7-2</f>
        <v>218</v>
      </c>
      <c r="C8">
        <f>B8+$P$2</f>
        <v>220</v>
      </c>
      <c r="D8">
        <f>C8+$Q$2</f>
        <v>228</v>
      </c>
      <c r="E8">
        <f>D8+$R$2</f>
        <v>230</v>
      </c>
      <c r="F8">
        <f>E8+$S$2</f>
        <v>232</v>
      </c>
    </row>
    <row r="9" spans="1:28" x14ac:dyDescent="0.2">
      <c r="A9" t="s">
        <v>132</v>
      </c>
      <c r="B9">
        <f>'PMF c0 round1-3'!B9</f>
        <v>226</v>
      </c>
      <c r="C9">
        <f t="shared" si="0"/>
        <v>228</v>
      </c>
      <c r="D9">
        <f t="shared" si="1"/>
        <v>236</v>
      </c>
      <c r="E9">
        <f t="shared" si="2"/>
        <v>238</v>
      </c>
      <c r="F9">
        <f t="shared" si="3"/>
        <v>240</v>
      </c>
    </row>
    <row r="10" spans="1:28" x14ac:dyDescent="0.2">
      <c r="A10" t="s">
        <v>144</v>
      </c>
      <c r="C10">
        <f>E9</f>
        <v>238</v>
      </c>
      <c r="D10">
        <f>C10+$U$2</f>
        <v>238</v>
      </c>
      <c r="E10">
        <f>D10+$V$2</f>
        <v>250</v>
      </c>
      <c r="F10">
        <f>E10+$W$2</f>
        <v>250</v>
      </c>
    </row>
    <row r="11" spans="1:28" x14ac:dyDescent="0.2">
      <c r="A11" t="s">
        <v>148</v>
      </c>
      <c r="C11">
        <f>F10</f>
        <v>250</v>
      </c>
      <c r="D11">
        <f>C11+$H$2</f>
        <v>251</v>
      </c>
      <c r="E11">
        <f>D11+$I$2</f>
        <v>252</v>
      </c>
      <c r="F11">
        <f>E11+$J$2</f>
        <v>253</v>
      </c>
    </row>
    <row r="12" spans="1:28" x14ac:dyDescent="0.2">
      <c r="A12" t="s">
        <v>149</v>
      </c>
      <c r="C12">
        <f>F11</f>
        <v>253</v>
      </c>
      <c r="D12">
        <f>C12+$L$2</f>
        <v>254</v>
      </c>
      <c r="E12">
        <f>D12+$M$2</f>
        <v>255</v>
      </c>
      <c r="F12">
        <f>E12+$N$2</f>
        <v>259</v>
      </c>
    </row>
    <row r="13" spans="1:28" x14ac:dyDescent="0.2">
      <c r="A13" t="s">
        <v>133</v>
      </c>
      <c r="B13">
        <f>'PMF c0 round1-3'!B13</f>
        <v>281</v>
      </c>
      <c r="C13">
        <f>B13+$P$2</f>
        <v>283</v>
      </c>
      <c r="D13">
        <f>C13+$Q$2</f>
        <v>291</v>
      </c>
      <c r="E13">
        <f>D13+$R$2</f>
        <v>293</v>
      </c>
      <c r="F13">
        <f>E13+$S$2</f>
        <v>295</v>
      </c>
    </row>
    <row r="14" spans="1:28" x14ac:dyDescent="0.2">
      <c r="A14" t="s">
        <v>134</v>
      </c>
      <c r="C14">
        <f>E13</f>
        <v>293</v>
      </c>
      <c r="D14">
        <f>C14+$U$2</f>
        <v>293</v>
      </c>
      <c r="E14">
        <f>D14+$V$2</f>
        <v>305</v>
      </c>
      <c r="F14">
        <f>E14+$W$2</f>
        <v>305</v>
      </c>
    </row>
    <row r="15" spans="1:28" x14ac:dyDescent="0.2">
      <c r="A15" t="s">
        <v>148</v>
      </c>
      <c r="C15">
        <f>F14</f>
        <v>305</v>
      </c>
      <c r="D15">
        <f>C15+$H$2</f>
        <v>306</v>
      </c>
      <c r="E15">
        <f>D15+$I$2</f>
        <v>307</v>
      </c>
      <c r="F15">
        <f>E15+$J$2</f>
        <v>308</v>
      </c>
    </row>
    <row r="16" spans="1:28" x14ac:dyDescent="0.2">
      <c r="A16" t="s">
        <v>149</v>
      </c>
      <c r="C16">
        <f>F15</f>
        <v>308</v>
      </c>
      <c r="D16">
        <f>C16+$L$2</f>
        <v>309</v>
      </c>
      <c r="E16">
        <f>D16+$M$2</f>
        <v>310</v>
      </c>
      <c r="F16">
        <f>E16+$N$2</f>
        <v>314</v>
      </c>
    </row>
    <row r="17" spans="1:6" x14ac:dyDescent="0.2">
      <c r="A17" t="s">
        <v>135</v>
      </c>
      <c r="B17">
        <f>'PMF c0 round1-3'!B17</f>
        <v>323</v>
      </c>
      <c r="C17">
        <f>B17+$P$2</f>
        <v>325</v>
      </c>
      <c r="D17">
        <f>C17+$Q$2</f>
        <v>333</v>
      </c>
      <c r="E17">
        <f>D17+$R$2</f>
        <v>335</v>
      </c>
      <c r="F17">
        <f>E17+$S$2</f>
        <v>337</v>
      </c>
    </row>
    <row r="18" spans="1:6" x14ac:dyDescent="0.2">
      <c r="A18" t="s">
        <v>134</v>
      </c>
      <c r="C18">
        <f>E17</f>
        <v>335</v>
      </c>
      <c r="D18">
        <f>C18+$U$2</f>
        <v>335</v>
      </c>
      <c r="E18">
        <f>D18+$V$2</f>
        <v>347</v>
      </c>
      <c r="F18">
        <f>E18+$W$2</f>
        <v>347</v>
      </c>
    </row>
    <row r="19" spans="1:6" x14ac:dyDescent="0.2">
      <c r="A19" t="s">
        <v>148</v>
      </c>
      <c r="C19">
        <f>F18</f>
        <v>347</v>
      </c>
      <c r="D19">
        <f>C19+$H$2</f>
        <v>348</v>
      </c>
      <c r="E19">
        <f>D19+$I$2</f>
        <v>349</v>
      </c>
      <c r="F19">
        <f>E19+$J$2</f>
        <v>350</v>
      </c>
    </row>
    <row r="20" spans="1:6" x14ac:dyDescent="0.2">
      <c r="A20" t="s">
        <v>149</v>
      </c>
      <c r="C20">
        <f>F19</f>
        <v>350</v>
      </c>
      <c r="D20">
        <f>C20+$L$2</f>
        <v>351</v>
      </c>
      <c r="E20">
        <f>D20+$M$2</f>
        <v>352</v>
      </c>
      <c r="F20">
        <f>E20+$N$2</f>
        <v>356</v>
      </c>
    </row>
    <row r="21" spans="1:6" x14ac:dyDescent="0.2">
      <c r="A21" t="s">
        <v>136</v>
      </c>
      <c r="B21">
        <f>'PMF c0 round1-3'!B21</f>
        <v>365</v>
      </c>
      <c r="C21">
        <f>B21+$P$2</f>
        <v>367</v>
      </c>
      <c r="D21">
        <f>C21+$Q$2</f>
        <v>375</v>
      </c>
      <c r="E21" s="42">
        <f>D21+$R$2+1</f>
        <v>378</v>
      </c>
      <c r="F21" s="42">
        <f>E21+$S$2</f>
        <v>380</v>
      </c>
    </row>
    <row r="22" spans="1:6" x14ac:dyDescent="0.2">
      <c r="A22" t="s">
        <v>144</v>
      </c>
      <c r="C22">
        <f>E21</f>
        <v>378</v>
      </c>
      <c r="D22">
        <f>C22+$U$2</f>
        <v>378</v>
      </c>
      <c r="E22">
        <f>D22+$V$2</f>
        <v>390</v>
      </c>
      <c r="F22">
        <f>E22+$W$2</f>
        <v>390</v>
      </c>
    </row>
    <row r="23" spans="1:6" x14ac:dyDescent="0.2">
      <c r="A23" t="s">
        <v>148</v>
      </c>
      <c r="C23">
        <f>F22</f>
        <v>390</v>
      </c>
      <c r="D23">
        <f>C23+$H$2</f>
        <v>391</v>
      </c>
      <c r="E23">
        <f>D23+$I$2</f>
        <v>392</v>
      </c>
      <c r="F23">
        <f>E23+$J$2</f>
        <v>393</v>
      </c>
    </row>
    <row r="24" spans="1:6" x14ac:dyDescent="0.2">
      <c r="A24" t="s">
        <v>149</v>
      </c>
      <c r="C24">
        <f>F23</f>
        <v>393</v>
      </c>
      <c r="D24">
        <f>C24+$L$2</f>
        <v>394</v>
      </c>
      <c r="E24">
        <f>D24+$M$2</f>
        <v>395</v>
      </c>
      <c r="F24">
        <f>E24+$N$2</f>
        <v>399</v>
      </c>
    </row>
    <row r="25" spans="1:6" x14ac:dyDescent="0.2">
      <c r="A25" t="s">
        <v>22</v>
      </c>
      <c r="D25">
        <f>F24</f>
        <v>399</v>
      </c>
      <c r="E25">
        <f>D25+7</f>
        <v>406</v>
      </c>
      <c r="F25">
        <f>E25+1</f>
        <v>407</v>
      </c>
    </row>
    <row r="26" spans="1:6" x14ac:dyDescent="0.2">
      <c r="A26" t="s">
        <v>137</v>
      </c>
      <c r="B26">
        <f>D9-2</f>
        <v>234</v>
      </c>
      <c r="C26">
        <f t="shared" ref="C26:C27" si="4">B26+$P$2</f>
        <v>236</v>
      </c>
      <c r="D26">
        <f t="shared" ref="D26:D27" si="5">C26+$Q$2</f>
        <v>244</v>
      </c>
      <c r="E26">
        <f t="shared" ref="E26:E27" si="6">D26+$R$2</f>
        <v>246</v>
      </c>
      <c r="F26">
        <f t="shared" ref="F26:F27" si="7">E26+$S$2</f>
        <v>248</v>
      </c>
    </row>
    <row r="27" spans="1:6" x14ac:dyDescent="0.2">
      <c r="A27" t="s">
        <v>138</v>
      </c>
      <c r="B27">
        <f>B26+8</f>
        <v>242</v>
      </c>
      <c r="C27">
        <f t="shared" si="4"/>
        <v>244</v>
      </c>
      <c r="D27">
        <f t="shared" si="5"/>
        <v>252</v>
      </c>
      <c r="E27">
        <f t="shared" si="6"/>
        <v>254</v>
      </c>
      <c r="F27">
        <f t="shared" si="7"/>
        <v>256</v>
      </c>
    </row>
    <row r="28" spans="1:6" x14ac:dyDescent="0.2">
      <c r="A28" t="s">
        <v>145</v>
      </c>
      <c r="B28">
        <f>B27+8</f>
        <v>250</v>
      </c>
      <c r="C28">
        <f>B28+$P$2</f>
        <v>252</v>
      </c>
      <c r="D28">
        <f>C28+$Q$2</f>
        <v>260</v>
      </c>
      <c r="E28">
        <f>D28+$R$2</f>
        <v>262</v>
      </c>
      <c r="F28">
        <f>E28+$S$2</f>
        <v>264</v>
      </c>
    </row>
    <row r="29" spans="1:6" x14ac:dyDescent="0.2">
      <c r="A29" t="s">
        <v>146</v>
      </c>
      <c r="B29">
        <f>D31-2</f>
        <v>305</v>
      </c>
      <c r="C29">
        <f>B29+$P$2</f>
        <v>307</v>
      </c>
      <c r="D29">
        <f>C29+$Q$2</f>
        <v>315</v>
      </c>
      <c r="E29">
        <f>D29+$R$2</f>
        <v>317</v>
      </c>
      <c r="F29">
        <f>E29+$S$2</f>
        <v>319</v>
      </c>
    </row>
    <row r="30" spans="1:6" x14ac:dyDescent="0.2">
      <c r="A30" t="s">
        <v>139</v>
      </c>
      <c r="B30">
        <f>B13+8</f>
        <v>289</v>
      </c>
      <c r="C30">
        <f>B30+$P$2</f>
        <v>291</v>
      </c>
      <c r="D30">
        <f>C30+$Q$2</f>
        <v>299</v>
      </c>
      <c r="E30">
        <f>D30+$R$2</f>
        <v>301</v>
      </c>
      <c r="F30">
        <f>E30+$S$2</f>
        <v>303</v>
      </c>
    </row>
    <row r="31" spans="1:6" x14ac:dyDescent="0.2">
      <c r="A31" t="s">
        <v>140</v>
      </c>
      <c r="B31">
        <f>B30+8</f>
        <v>297</v>
      </c>
      <c r="C31">
        <f>B31+$P$2</f>
        <v>299</v>
      </c>
      <c r="D31">
        <f>C31+$Q$2</f>
        <v>307</v>
      </c>
      <c r="E31">
        <f>D31+$R$2</f>
        <v>309</v>
      </c>
      <c r="F31">
        <f>E31+$S$2</f>
        <v>311</v>
      </c>
    </row>
    <row r="32" spans="1:6" x14ac:dyDescent="0.2">
      <c r="A32" t="s">
        <v>192</v>
      </c>
      <c r="B32">
        <f>D28-2</f>
        <v>258</v>
      </c>
      <c r="C32">
        <f>B32+$Y$2</f>
        <v>260</v>
      </c>
      <c r="D32">
        <f>C32+$Z$2</f>
        <v>282</v>
      </c>
      <c r="E32">
        <f>D32+$AA$2</f>
        <v>282</v>
      </c>
      <c r="F32">
        <f>E32+$AB$2</f>
        <v>290</v>
      </c>
    </row>
    <row r="33" spans="1:6" x14ac:dyDescent="0.2">
      <c r="A33" t="s">
        <v>141</v>
      </c>
      <c r="B33">
        <f>D17-2</f>
        <v>331</v>
      </c>
      <c r="C33">
        <f>B33+$P$2</f>
        <v>333</v>
      </c>
      <c r="D33">
        <f>C33+$Q$2</f>
        <v>341</v>
      </c>
      <c r="E33">
        <f>D33+$R$2</f>
        <v>343</v>
      </c>
      <c r="F33">
        <f>E33+$S$2</f>
        <v>345</v>
      </c>
    </row>
    <row r="34" spans="1:6" x14ac:dyDescent="0.2">
      <c r="A34" t="s">
        <v>142</v>
      </c>
      <c r="B34">
        <f>B33+8</f>
        <v>339</v>
      </c>
      <c r="C34">
        <f>B34+$P$2</f>
        <v>341</v>
      </c>
      <c r="D34">
        <f>C34+$Q$2</f>
        <v>349</v>
      </c>
      <c r="E34" s="42">
        <f>D34+$R$2+1</f>
        <v>352</v>
      </c>
      <c r="F34" s="42">
        <f>E34+$S$2</f>
        <v>354</v>
      </c>
    </row>
    <row r="35" spans="1:6" x14ac:dyDescent="0.2">
      <c r="A35" t="s">
        <v>147</v>
      </c>
      <c r="B35">
        <f>D34-2</f>
        <v>347</v>
      </c>
      <c r="C35">
        <f>B35+$P$2</f>
        <v>349</v>
      </c>
      <c r="D35">
        <f>C35+$Q$2</f>
        <v>357</v>
      </c>
      <c r="E35" s="42">
        <f>D35+$R$2+1</f>
        <v>360</v>
      </c>
      <c r="F35" s="42">
        <f>E35+$S$2</f>
        <v>362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F07A-FCE4-4F4E-ACE2-E9CBAFA9EEE3}">
  <dimension ref="A1:W22"/>
  <sheetViews>
    <sheetView workbookViewId="0">
      <selection activeCell="K26" sqref="K26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188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44</v>
      </c>
      <c r="R4">
        <f>v0!C89</f>
        <v>-36</v>
      </c>
      <c r="S4">
        <f>v0!D89</f>
        <v>44</v>
      </c>
    </row>
    <row r="5" spans="1:23" x14ac:dyDescent="0.2">
      <c r="A5" t="s">
        <v>150</v>
      </c>
      <c r="B5">
        <v>0</v>
      </c>
      <c r="C5">
        <f>B5+$P$6</f>
        <v>2</v>
      </c>
      <c r="D5">
        <f>C5+$Q$6</f>
        <v>24</v>
      </c>
      <c r="E5">
        <f>D5+$R$6</f>
        <v>24</v>
      </c>
      <c r="F5">
        <f>E5+$S$6</f>
        <v>32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190</v>
      </c>
      <c r="B6">
        <f t="shared" ref="B6:B9" si="0">D5-2</f>
        <v>22</v>
      </c>
      <c r="C6">
        <f>B6+$P$6</f>
        <v>24</v>
      </c>
      <c r="D6">
        <f>C6+$Q$6</f>
        <v>46</v>
      </c>
      <c r="E6">
        <f>D6+$R$6</f>
        <v>46</v>
      </c>
      <c r="F6">
        <f>E6+$S$6</f>
        <v>54</v>
      </c>
      <c r="P6">
        <f>v0!A91</f>
        <v>2</v>
      </c>
      <c r="Q6">
        <f>v0!B91</f>
        <v>22</v>
      </c>
      <c r="R6">
        <f>v0!C91</f>
        <v>0</v>
      </c>
      <c r="S6">
        <f>v0!D91</f>
        <v>8</v>
      </c>
    </row>
    <row r="7" spans="1:23" x14ac:dyDescent="0.2">
      <c r="A7" t="s">
        <v>50</v>
      </c>
      <c r="B7">
        <f t="shared" si="0"/>
        <v>44</v>
      </c>
      <c r="C7">
        <f>B7+$P$6</f>
        <v>46</v>
      </c>
      <c r="D7">
        <f>C7+$Q$6</f>
        <v>68</v>
      </c>
      <c r="E7" s="41">
        <f>D7+$R$6+58</f>
        <v>126</v>
      </c>
      <c r="F7" s="41">
        <f>E7+$S$6</f>
        <v>134</v>
      </c>
    </row>
    <row r="8" spans="1:23" x14ac:dyDescent="0.2">
      <c r="A8" t="s">
        <v>36</v>
      </c>
      <c r="B8">
        <f>D7-2</f>
        <v>66</v>
      </c>
      <c r="C8">
        <f>B8+$P$4</f>
        <v>68</v>
      </c>
      <c r="D8">
        <f>C8+$Q$4</f>
        <v>112</v>
      </c>
      <c r="E8">
        <f>D8+$R$4</f>
        <v>76</v>
      </c>
      <c r="F8">
        <f>E8+$S$4</f>
        <v>120</v>
      </c>
    </row>
    <row r="9" spans="1:23" x14ac:dyDescent="0.2">
      <c r="A9" t="s">
        <v>151</v>
      </c>
      <c r="B9">
        <f t="shared" si="0"/>
        <v>110</v>
      </c>
      <c r="C9">
        <f>B9+$P$4</f>
        <v>112</v>
      </c>
      <c r="D9">
        <f>C9+$Q$4</f>
        <v>156</v>
      </c>
      <c r="E9">
        <f>D9+$R$4</f>
        <v>120</v>
      </c>
      <c r="F9">
        <f>E9+$S$4</f>
        <v>164</v>
      </c>
    </row>
    <row r="14" spans="1:23" x14ac:dyDescent="0.2">
      <c r="E14" s="40"/>
      <c r="F14" s="40"/>
    </row>
    <row r="18" spans="1:6" s="1" customFormat="1" x14ac:dyDescent="0.2">
      <c r="A18"/>
      <c r="B18"/>
      <c r="C18"/>
      <c r="D18"/>
      <c r="E18" s="40"/>
      <c r="F18" s="40"/>
    </row>
    <row r="19" spans="1:6" x14ac:dyDescent="0.2">
      <c r="E19" s="40"/>
      <c r="F19" s="40"/>
    </row>
    <row r="21" spans="1:6" x14ac:dyDescent="0.2">
      <c r="B21" s="1"/>
      <c r="C21" s="1"/>
      <c r="D21" s="1"/>
      <c r="E21" s="1"/>
      <c r="F21" s="1"/>
    </row>
    <row r="22" spans="1:6" x14ac:dyDescent="0.2">
      <c r="B22" s="1"/>
      <c r="C22" s="1"/>
      <c r="D22" s="1"/>
      <c r="E22" s="1"/>
      <c r="F22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317A-AECA-4343-96E0-4ED212B0C2E5}">
  <dimension ref="A1:W18"/>
  <sheetViews>
    <sheetView workbookViewId="0">
      <selection activeCell="I13" sqref="I13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187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44</v>
      </c>
      <c r="R4">
        <f>v0!C89</f>
        <v>-36</v>
      </c>
      <c r="S4">
        <f>v0!D89</f>
        <v>44</v>
      </c>
    </row>
    <row r="5" spans="1:23" x14ac:dyDescent="0.2">
      <c r="A5" t="s">
        <v>191</v>
      </c>
      <c r="B5">
        <f>'PMF c1 round1-3'!B5</f>
        <v>225</v>
      </c>
      <c r="C5">
        <f>B5+$P$6</f>
        <v>227</v>
      </c>
      <c r="D5">
        <f>C5+$Q$6</f>
        <v>249</v>
      </c>
      <c r="E5">
        <f>D5+$R$6</f>
        <v>249</v>
      </c>
      <c r="F5">
        <f>E5+$S$6</f>
        <v>257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51</v>
      </c>
      <c r="B6">
        <f>D5-2</f>
        <v>247</v>
      </c>
      <c r="C6">
        <f>B6+$P$6</f>
        <v>249</v>
      </c>
      <c r="D6">
        <f>C6+$Q$6</f>
        <v>271</v>
      </c>
      <c r="E6" s="45">
        <f>D6+$R$6</f>
        <v>271</v>
      </c>
      <c r="F6" s="45">
        <f>E6+$S$6</f>
        <v>279</v>
      </c>
      <c r="P6">
        <f>v0!A91</f>
        <v>2</v>
      </c>
      <c r="Q6">
        <f>v0!B91</f>
        <v>22</v>
      </c>
      <c r="R6">
        <f>v0!C91</f>
        <v>0</v>
      </c>
      <c r="S6">
        <f>v0!D91</f>
        <v>8</v>
      </c>
    </row>
    <row r="7" spans="1:23" x14ac:dyDescent="0.2">
      <c r="A7" t="s">
        <v>55</v>
      </c>
      <c r="B7">
        <f t="shared" ref="B7:B14" si="0">D6-2</f>
        <v>269</v>
      </c>
      <c r="C7">
        <f>B7+$P$4</f>
        <v>271</v>
      </c>
      <c r="D7">
        <f>C7+$Q$4</f>
        <v>315</v>
      </c>
      <c r="E7" s="42">
        <f>D7+$R$4+44+61</f>
        <v>384</v>
      </c>
      <c r="F7" s="42">
        <f>E7+32</f>
        <v>416</v>
      </c>
    </row>
    <row r="8" spans="1:23" x14ac:dyDescent="0.2">
      <c r="A8" t="s">
        <v>54</v>
      </c>
      <c r="B8" s="42">
        <f>D7-2+17</f>
        <v>330</v>
      </c>
      <c r="C8">
        <f>B8+$P$4</f>
        <v>332</v>
      </c>
      <c r="D8">
        <f>C8+$Q$4</f>
        <v>376</v>
      </c>
      <c r="E8">
        <f>D8+$R$4</f>
        <v>340</v>
      </c>
      <c r="F8">
        <f>E8+$S$4</f>
        <v>384</v>
      </c>
    </row>
    <row r="9" spans="1:23" x14ac:dyDescent="0.2">
      <c r="A9" t="s">
        <v>193</v>
      </c>
      <c r="B9">
        <v>400</v>
      </c>
      <c r="C9">
        <f>B9+$P$6</f>
        <v>402</v>
      </c>
      <c r="D9">
        <f>C9+$Q$6</f>
        <v>424</v>
      </c>
      <c r="E9">
        <f>D9+$R$6</f>
        <v>424</v>
      </c>
      <c r="F9">
        <f>E9+$S$6</f>
        <v>432</v>
      </c>
    </row>
    <row r="10" spans="1:23" x14ac:dyDescent="0.2">
      <c r="A10" t="s">
        <v>49</v>
      </c>
      <c r="B10">
        <f t="shared" si="0"/>
        <v>422</v>
      </c>
      <c r="C10">
        <f>B10+$P$6</f>
        <v>424</v>
      </c>
      <c r="D10">
        <f>C10+$Q$6</f>
        <v>446</v>
      </c>
      <c r="E10">
        <f>D10+$R$6</f>
        <v>446</v>
      </c>
      <c r="F10">
        <f>E10+$S$6</f>
        <v>454</v>
      </c>
    </row>
    <row r="11" spans="1:23" x14ac:dyDescent="0.2">
      <c r="A11" t="s">
        <v>157</v>
      </c>
      <c r="B11">
        <f>D10-2</f>
        <v>444</v>
      </c>
      <c r="C11">
        <f>B11+$P$4</f>
        <v>446</v>
      </c>
      <c r="D11">
        <f>C11+$Q$4</f>
        <v>490</v>
      </c>
      <c r="E11" s="42">
        <f>D11+$R$4+45</f>
        <v>499</v>
      </c>
      <c r="F11" s="42">
        <f>E11+32</f>
        <v>531</v>
      </c>
    </row>
    <row r="12" spans="1:23" x14ac:dyDescent="0.2">
      <c r="A12" t="s">
        <v>158</v>
      </c>
      <c r="B12">
        <f>D11-2</f>
        <v>488</v>
      </c>
      <c r="C12">
        <f>B12+$P$4</f>
        <v>490</v>
      </c>
      <c r="D12">
        <f>C12+$Q$4</f>
        <v>534</v>
      </c>
      <c r="E12" s="42">
        <f>D12+$R$4+35</f>
        <v>533</v>
      </c>
      <c r="F12" s="42">
        <f>E12+32</f>
        <v>565</v>
      </c>
    </row>
    <row r="13" spans="1:23" x14ac:dyDescent="0.2">
      <c r="A13" t="s">
        <v>194</v>
      </c>
      <c r="B13" s="1">
        <v>600</v>
      </c>
      <c r="C13" s="1">
        <f>B13+$P$4</f>
        <v>602</v>
      </c>
      <c r="D13" s="1">
        <f>C13+$Q$4</f>
        <v>646</v>
      </c>
      <c r="E13" s="1">
        <f>D13+$R$4</f>
        <v>610</v>
      </c>
      <c r="F13" s="1">
        <f>E13+$S$4</f>
        <v>654</v>
      </c>
    </row>
    <row r="14" spans="1:23" x14ac:dyDescent="0.2">
      <c r="A14" t="s">
        <v>523</v>
      </c>
      <c r="B14" s="1">
        <f t="shared" si="0"/>
        <v>644</v>
      </c>
      <c r="C14" s="1">
        <f>B14+$P$4</f>
        <v>646</v>
      </c>
      <c r="D14" s="1">
        <f>C14+$Q$4</f>
        <v>690</v>
      </c>
      <c r="E14" s="1">
        <f>D14+$R$4</f>
        <v>654</v>
      </c>
      <c r="F14" s="1">
        <f>E14+$S$4</f>
        <v>698</v>
      </c>
    </row>
    <row r="15" spans="1:23" x14ac:dyDescent="0.2">
      <c r="A15" t="s">
        <v>525</v>
      </c>
      <c r="E15">
        <f>F10</f>
        <v>454</v>
      </c>
      <c r="F15">
        <f>E15+4</f>
        <v>458</v>
      </c>
    </row>
    <row r="16" spans="1:23" x14ac:dyDescent="0.2">
      <c r="A16" t="s">
        <v>526</v>
      </c>
      <c r="E16">
        <f>F14</f>
        <v>698</v>
      </c>
      <c r="F16">
        <f>E16+4</f>
        <v>702</v>
      </c>
    </row>
    <row r="18" spans="1:6" s="1" customFormat="1" x14ac:dyDescent="0.2">
      <c r="A18"/>
      <c r="B18"/>
      <c r="C18"/>
      <c r="D18"/>
      <c r="E18"/>
      <c r="F1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0F57-9681-4784-B96A-84A30252397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v0</vt:lpstr>
      <vt:lpstr>struct</vt:lpstr>
      <vt:lpstr>interface</vt:lpstr>
      <vt:lpstr>job</vt:lpstr>
      <vt:lpstr>output format</vt:lpstr>
      <vt:lpstr>264PMF Y c0 round0</vt:lpstr>
      <vt:lpstr>264PMF Y c1 round0</vt:lpstr>
      <vt:lpstr>264PMF UV c0 round0</vt:lpstr>
      <vt:lpstr>264PMF UV c1 round0</vt:lpstr>
      <vt:lpstr>PMF c0 round0</vt:lpstr>
      <vt:lpstr>PMF sp c0 round0</vt:lpstr>
      <vt:lpstr>PMF sp c0 round1-3</vt:lpstr>
      <vt:lpstr>PMF c0 round1-3</vt:lpstr>
      <vt:lpstr>PMF c1 round0</vt:lpstr>
      <vt:lpstr>PMF c1 round1-3</vt:lpstr>
      <vt:lpstr>PMF UV c0 round0</vt:lpstr>
      <vt:lpstr>PMF UV c0 round1-3</vt:lpstr>
      <vt:lpstr>PMF UV c1 round0</vt:lpstr>
      <vt:lpstr>PMF UV c1 round1-3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Huangtao Wu</dc:creator>
  <cp:lastModifiedBy>Huangtao Wu</cp:lastModifiedBy>
  <cp:lastPrinted>2026-01-06T07:20:19Z</cp:lastPrinted>
  <dcterms:created xsi:type="dcterms:W3CDTF">2025-12-10T06:48:06Z</dcterms:created>
  <dcterms:modified xsi:type="dcterms:W3CDTF">2026-01-21T06:44:28Z</dcterms:modified>
</cp:coreProperties>
</file>