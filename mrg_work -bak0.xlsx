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u01\Desktop\md\"/>
    </mc:Choice>
  </mc:AlternateContent>
  <xr:revisionPtr revIDLastSave="0" documentId="13_ncr:1_{3EDC34B6-D5B3-4130-B6A2-FFDF5AD8992E}" xr6:coauthVersionLast="33" xr6:coauthVersionMax="33" xr10:uidLastSave="{00000000-0000-0000-0000-000000000000}"/>
  <bookViews>
    <workbookView xWindow="0" yWindow="0" windowWidth="28800" windowHeight="12135" firstSheet="9" activeTab="14" xr2:uid="{39627F01-7337-4F89-8A01-1D6EB359A865}"/>
  </bookViews>
  <sheets>
    <sheet name="v0" sheetId="1" r:id="rId1"/>
    <sheet name="struct" sheetId="29" r:id="rId2"/>
    <sheet name="interface" sheetId="30" r:id="rId3"/>
    <sheet name="job" sheetId="31" r:id="rId4"/>
    <sheet name="output format" sheetId="27" r:id="rId5"/>
    <sheet name="264PMF Y c0 round0" sheetId="20" r:id="rId6"/>
    <sheet name="264PMF Y c1 round0" sheetId="21" r:id="rId7"/>
    <sheet name="264PMF UV c0 round0" sheetId="24" r:id="rId8"/>
    <sheet name="264PMF UV c1 round0" sheetId="25" r:id="rId9"/>
    <sheet name="PMF c0 round0" sheetId="3" r:id="rId10"/>
    <sheet name="PMF sp c0 round0" sheetId="12" r:id="rId11"/>
    <sheet name="PMF sp c0 round1-3" sheetId="14" r:id="rId12"/>
    <sheet name="PMF c0 round1-3" sheetId="4" r:id="rId13"/>
    <sheet name="PMF c1 round0" sheetId="7" r:id="rId14"/>
    <sheet name="PMF c1 round1-3" sheetId="19" r:id="rId15"/>
    <sheet name="PMF UV c0 round0" sheetId="9" r:id="rId16"/>
    <sheet name="PMF UV c0 round1-3" sheetId="13" r:id="rId17"/>
    <sheet name="PMF UV c1 round0" sheetId="17" r:id="rId18"/>
    <sheet name="PMF UV c1 round1-3" sheetId="11" r:id="rId19"/>
    <sheet name="Sheet22" sheetId="28" r:id="rId20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" i="19" l="1"/>
  <c r="AA2" i="19"/>
  <c r="AB2" i="19"/>
  <c r="Y2" i="19"/>
  <c r="Q2" i="19"/>
  <c r="R2" i="19"/>
  <c r="S2" i="19"/>
  <c r="P2" i="19"/>
  <c r="Z2" i="7" l="1"/>
  <c r="AA2" i="7"/>
  <c r="AB2" i="7"/>
  <c r="Y2" i="7"/>
  <c r="Q2" i="7"/>
  <c r="R2" i="7"/>
  <c r="S2" i="7"/>
  <c r="P2" i="7"/>
  <c r="L37" i="1" l="1"/>
  <c r="L36" i="1"/>
  <c r="L35" i="1"/>
  <c r="L33" i="1"/>
  <c r="M33" i="1" s="1"/>
  <c r="K123" i="1"/>
  <c r="K122" i="1"/>
  <c r="J123" i="1"/>
  <c r="M123" i="1" s="1"/>
  <c r="O123" i="1" s="1"/>
  <c r="J122" i="1"/>
  <c r="M122" i="1" s="1"/>
  <c r="N123" i="1"/>
  <c r="P123" i="1" s="1"/>
  <c r="H123" i="1"/>
  <c r="L123" i="1" s="1"/>
  <c r="B123" i="1"/>
  <c r="N122" i="1"/>
  <c r="N124" i="1" s="1"/>
  <c r="B122" i="1"/>
  <c r="H122" i="1" s="1"/>
  <c r="K157" i="1"/>
  <c r="T7" i="1"/>
  <c r="T6" i="1"/>
  <c r="T5" i="1"/>
  <c r="T4" i="1"/>
  <c r="T3" i="1"/>
  <c r="B119" i="1"/>
  <c r="B118" i="1"/>
  <c r="N119" i="1"/>
  <c r="P119" i="1" s="1"/>
  <c r="M119" i="1"/>
  <c r="O119" i="1" s="1"/>
  <c r="N118" i="1"/>
  <c r="N120" i="1" s="1"/>
  <c r="M118" i="1"/>
  <c r="O118" i="1" s="1"/>
  <c r="O120" i="1" s="1"/>
  <c r="H118" i="1"/>
  <c r="M35" i="1" l="1"/>
  <c r="U3" i="1"/>
  <c r="M124" i="1"/>
  <c r="O122" i="1"/>
  <c r="O124" i="1" s="1"/>
  <c r="L122" i="1"/>
  <c r="H124" i="1"/>
  <c r="L124" i="1" s="1"/>
  <c r="P122" i="1"/>
  <c r="P124" i="1" s="1"/>
  <c r="U5" i="1"/>
  <c r="P118" i="1"/>
  <c r="P120" i="1" s="1"/>
  <c r="M120" i="1"/>
  <c r="L118" i="1"/>
  <c r="H119" i="1"/>
  <c r="L119" i="1" s="1"/>
  <c r="E162" i="1"/>
  <c r="E163" i="1"/>
  <c r="E164" i="1"/>
  <c r="E165" i="1"/>
  <c r="E166" i="1"/>
  <c r="E161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H120" i="1" l="1"/>
  <c r="L120" i="1" s="1"/>
  <c r="U10" i="1"/>
  <c r="U12" i="1"/>
  <c r="H157" i="1" l="1"/>
  <c r="G157" i="1"/>
  <c r="H156" i="1"/>
  <c r="G156" i="1"/>
  <c r="H155" i="1"/>
  <c r="G155" i="1"/>
  <c r="H154" i="1"/>
  <c r="G154" i="1"/>
  <c r="H149" i="1"/>
  <c r="H150" i="1"/>
  <c r="H151" i="1"/>
  <c r="H152" i="1"/>
  <c r="H148" i="1"/>
  <c r="G149" i="1"/>
  <c r="G150" i="1"/>
  <c r="G151" i="1"/>
  <c r="G152" i="1"/>
  <c r="G148" i="1"/>
  <c r="P114" i="1"/>
  <c r="P115" i="1"/>
  <c r="P116" i="1"/>
  <c r="O115" i="1"/>
  <c r="O114" i="1"/>
  <c r="O116" i="1"/>
  <c r="D156" i="1"/>
  <c r="F156" i="1" s="1"/>
  <c r="F157" i="1" s="1"/>
  <c r="D157" i="1"/>
  <c r="F155" i="1"/>
  <c r="D155" i="1"/>
  <c r="M132" i="1"/>
  <c r="L132" i="1"/>
  <c r="M130" i="1"/>
  <c r="L130" i="1"/>
  <c r="N116" i="1"/>
  <c r="M116" i="1"/>
  <c r="M115" i="1"/>
  <c r="N115" i="1"/>
  <c r="N114" i="1"/>
  <c r="M114" i="1"/>
  <c r="J133" i="1"/>
  <c r="I133" i="1"/>
  <c r="I132" i="1"/>
  <c r="J132" i="1" s="1"/>
  <c r="J130" i="1"/>
  <c r="I130" i="1"/>
  <c r="F149" i="1"/>
  <c r="F151" i="1"/>
  <c r="F148" i="1"/>
  <c r="D154" i="1"/>
  <c r="F154" i="1" s="1"/>
  <c r="D151" i="1"/>
  <c r="D153" i="1"/>
  <c r="F153" i="1" s="1"/>
  <c r="D152" i="1"/>
  <c r="F152" i="1" s="1"/>
  <c r="D150" i="1"/>
  <c r="D149" i="1"/>
  <c r="D148" i="1"/>
  <c r="B5" i="13"/>
  <c r="F150" i="1" l="1"/>
  <c r="B5" i="25"/>
  <c r="I21" i="20" l="1"/>
  <c r="J21" i="20"/>
  <c r="K21" i="20"/>
  <c r="L21" i="20"/>
  <c r="M21" i="20"/>
  <c r="N21" i="20"/>
  <c r="O21" i="20"/>
  <c r="P21" i="20"/>
  <c r="I17" i="20"/>
  <c r="J17" i="20"/>
  <c r="K17" i="20"/>
  <c r="L17" i="20"/>
  <c r="M17" i="20"/>
  <c r="N17" i="20"/>
  <c r="O17" i="20"/>
  <c r="P17" i="20"/>
  <c r="I13" i="20"/>
  <c r="J13" i="20"/>
  <c r="K13" i="20"/>
  <c r="L13" i="20"/>
  <c r="M13" i="20"/>
  <c r="N13" i="20"/>
  <c r="O13" i="20"/>
  <c r="P13" i="20"/>
  <c r="I9" i="20"/>
  <c r="J9" i="20"/>
  <c r="K9" i="20"/>
  <c r="M9" i="20"/>
  <c r="N9" i="20"/>
  <c r="O9" i="20"/>
  <c r="P9" i="20"/>
  <c r="B115" i="1"/>
  <c r="H115" i="1" s="1"/>
  <c r="L115" i="1" s="1"/>
  <c r="B114" i="1"/>
  <c r="H114" i="1" s="1"/>
  <c r="L9" i="21"/>
  <c r="P26" i="20"/>
  <c r="O26" i="20"/>
  <c r="N26" i="20"/>
  <c r="M26" i="20"/>
  <c r="L26" i="20"/>
  <c r="K26" i="20"/>
  <c r="J26" i="20"/>
  <c r="I26" i="20"/>
  <c r="P25" i="20"/>
  <c r="O25" i="20"/>
  <c r="N25" i="20"/>
  <c r="M25" i="20"/>
  <c r="L25" i="20"/>
  <c r="K25" i="20"/>
  <c r="J25" i="20"/>
  <c r="I25" i="20"/>
  <c r="P24" i="20"/>
  <c r="O24" i="20"/>
  <c r="N24" i="20"/>
  <c r="M24" i="20"/>
  <c r="L24" i="20"/>
  <c r="K24" i="20"/>
  <c r="J24" i="20"/>
  <c r="I24" i="20"/>
  <c r="P23" i="20"/>
  <c r="O23" i="20"/>
  <c r="N23" i="20"/>
  <c r="M23" i="20"/>
  <c r="L23" i="20"/>
  <c r="K23" i="20"/>
  <c r="J23" i="20"/>
  <c r="I23" i="20"/>
  <c r="P22" i="20"/>
  <c r="O22" i="20"/>
  <c r="N22" i="20"/>
  <c r="M22" i="20"/>
  <c r="L22" i="20"/>
  <c r="K22" i="20"/>
  <c r="J22" i="20"/>
  <c r="I22" i="20"/>
  <c r="P20" i="20"/>
  <c r="O20" i="20"/>
  <c r="N20" i="20"/>
  <c r="M20" i="20"/>
  <c r="L20" i="20"/>
  <c r="K20" i="20"/>
  <c r="J20" i="20"/>
  <c r="I20" i="20"/>
  <c r="P19" i="20"/>
  <c r="O19" i="20"/>
  <c r="N19" i="20"/>
  <c r="M19" i="20"/>
  <c r="L19" i="20"/>
  <c r="K19" i="20"/>
  <c r="J19" i="20"/>
  <c r="I19" i="20"/>
  <c r="P18" i="20"/>
  <c r="O18" i="20"/>
  <c r="N18" i="20"/>
  <c r="M18" i="20"/>
  <c r="L18" i="20"/>
  <c r="K18" i="20"/>
  <c r="J18" i="20"/>
  <c r="I18" i="20"/>
  <c r="P16" i="20"/>
  <c r="O16" i="20"/>
  <c r="N16" i="20"/>
  <c r="M16" i="20"/>
  <c r="L16" i="20"/>
  <c r="K16" i="20"/>
  <c r="J16" i="20"/>
  <c r="I16" i="20"/>
  <c r="P15" i="20"/>
  <c r="O15" i="20"/>
  <c r="N15" i="20"/>
  <c r="M15" i="20"/>
  <c r="L15" i="20"/>
  <c r="K15" i="20"/>
  <c r="J15" i="20"/>
  <c r="I15" i="20"/>
  <c r="P14" i="20"/>
  <c r="O14" i="20"/>
  <c r="N14" i="20"/>
  <c r="M14" i="20"/>
  <c r="L14" i="20"/>
  <c r="K14" i="20"/>
  <c r="J14" i="20"/>
  <c r="I14" i="20"/>
  <c r="P12" i="20"/>
  <c r="O12" i="20"/>
  <c r="N12" i="20"/>
  <c r="M12" i="20"/>
  <c r="L12" i="20"/>
  <c r="K12" i="20"/>
  <c r="J12" i="20"/>
  <c r="I12" i="20"/>
  <c r="P11" i="20"/>
  <c r="O11" i="20"/>
  <c r="N11" i="20"/>
  <c r="M11" i="20"/>
  <c r="L11" i="20"/>
  <c r="K11" i="20"/>
  <c r="J11" i="20"/>
  <c r="I11" i="20"/>
  <c r="P10" i="20"/>
  <c r="O10" i="20"/>
  <c r="N10" i="20"/>
  <c r="M10" i="20"/>
  <c r="L10" i="20"/>
  <c r="K10" i="20"/>
  <c r="J10" i="20"/>
  <c r="I10" i="20"/>
  <c r="P8" i="20"/>
  <c r="O8" i="20"/>
  <c r="N8" i="20"/>
  <c r="M8" i="20"/>
  <c r="L8" i="20"/>
  <c r="K8" i="20"/>
  <c r="J8" i="20"/>
  <c r="I8" i="20"/>
  <c r="P7" i="20"/>
  <c r="O7" i="20"/>
  <c r="M7" i="20"/>
  <c r="L7" i="20"/>
  <c r="K7" i="20"/>
  <c r="J7" i="20"/>
  <c r="I7" i="20"/>
  <c r="P6" i="20"/>
  <c r="O6" i="20"/>
  <c r="N6" i="20"/>
  <c r="M6" i="20"/>
  <c r="L6" i="20"/>
  <c r="K6" i="20"/>
  <c r="J6" i="20"/>
  <c r="I6" i="20"/>
  <c r="P5" i="20"/>
  <c r="O5" i="20"/>
  <c r="N5" i="20"/>
  <c r="M5" i="20"/>
  <c r="L5" i="20"/>
  <c r="K5" i="20"/>
  <c r="J5" i="20"/>
  <c r="I5" i="20"/>
  <c r="C5" i="20"/>
  <c r="P4" i="20"/>
  <c r="O4" i="20"/>
  <c r="N4" i="20"/>
  <c r="M4" i="20"/>
  <c r="L4" i="20"/>
  <c r="K4" i="20"/>
  <c r="J4" i="20"/>
  <c r="I4" i="20"/>
  <c r="P3" i="20"/>
  <c r="O3" i="20"/>
  <c r="N3" i="20"/>
  <c r="M3" i="20"/>
  <c r="L3" i="20"/>
  <c r="K3" i="20"/>
  <c r="J3" i="20"/>
  <c r="I3" i="20"/>
  <c r="P2" i="20"/>
  <c r="O2" i="20"/>
  <c r="N2" i="20"/>
  <c r="M2" i="20"/>
  <c r="L2" i="20"/>
  <c r="K2" i="20"/>
  <c r="J2" i="20"/>
  <c r="I2" i="20"/>
  <c r="P1" i="20"/>
  <c r="O1" i="20"/>
  <c r="N1" i="20"/>
  <c r="M1" i="20"/>
  <c r="L1" i="20"/>
  <c r="K1" i="20"/>
  <c r="J1" i="20"/>
  <c r="I1" i="20"/>
  <c r="P26" i="25"/>
  <c r="O26" i="25"/>
  <c r="N26" i="25"/>
  <c r="M26" i="25"/>
  <c r="L26" i="25"/>
  <c r="K26" i="25"/>
  <c r="J26" i="25"/>
  <c r="I26" i="25"/>
  <c r="P25" i="25"/>
  <c r="O25" i="25"/>
  <c r="N25" i="25"/>
  <c r="M25" i="25"/>
  <c r="L25" i="25"/>
  <c r="K25" i="25"/>
  <c r="J25" i="25"/>
  <c r="I25" i="25"/>
  <c r="P24" i="25"/>
  <c r="O24" i="25"/>
  <c r="N24" i="25"/>
  <c r="M24" i="25"/>
  <c r="L24" i="25"/>
  <c r="K24" i="25"/>
  <c r="J24" i="25"/>
  <c r="I24" i="25"/>
  <c r="P23" i="25"/>
  <c r="O23" i="25"/>
  <c r="N23" i="25"/>
  <c r="M23" i="25"/>
  <c r="L23" i="25"/>
  <c r="K23" i="25"/>
  <c r="J23" i="25"/>
  <c r="I23" i="25"/>
  <c r="P22" i="25"/>
  <c r="O22" i="25"/>
  <c r="N22" i="25"/>
  <c r="M22" i="25"/>
  <c r="L22" i="25"/>
  <c r="K22" i="25"/>
  <c r="J22" i="25"/>
  <c r="I22" i="25"/>
  <c r="P21" i="25"/>
  <c r="O21" i="25"/>
  <c r="N21" i="25"/>
  <c r="M21" i="25"/>
  <c r="L21" i="25"/>
  <c r="K21" i="25"/>
  <c r="J21" i="25"/>
  <c r="I21" i="25"/>
  <c r="P20" i="25"/>
  <c r="O20" i="25"/>
  <c r="N20" i="25"/>
  <c r="M20" i="25"/>
  <c r="L20" i="25"/>
  <c r="K20" i="25"/>
  <c r="J20" i="25"/>
  <c r="I20" i="25"/>
  <c r="P19" i="25"/>
  <c r="O19" i="25"/>
  <c r="N19" i="25"/>
  <c r="M19" i="25"/>
  <c r="L19" i="25"/>
  <c r="K19" i="25"/>
  <c r="J19" i="25"/>
  <c r="I19" i="25"/>
  <c r="P18" i="25"/>
  <c r="O18" i="25"/>
  <c r="N18" i="25"/>
  <c r="M18" i="25"/>
  <c r="L18" i="25"/>
  <c r="K18" i="25"/>
  <c r="J18" i="25"/>
  <c r="I18" i="25"/>
  <c r="P17" i="25"/>
  <c r="O17" i="25"/>
  <c r="N17" i="25"/>
  <c r="M17" i="25"/>
  <c r="L17" i="25"/>
  <c r="K17" i="25"/>
  <c r="I17" i="25"/>
  <c r="C5" i="25" s="1"/>
  <c r="D5" i="25" s="1"/>
  <c r="P16" i="25"/>
  <c r="O16" i="25"/>
  <c r="N16" i="25"/>
  <c r="M16" i="25"/>
  <c r="L16" i="25"/>
  <c r="K16" i="25"/>
  <c r="J16" i="25"/>
  <c r="I16" i="25"/>
  <c r="P15" i="25"/>
  <c r="O15" i="25"/>
  <c r="N15" i="25"/>
  <c r="M15" i="25"/>
  <c r="L15" i="25"/>
  <c r="K15" i="25"/>
  <c r="J15" i="25"/>
  <c r="I15" i="25"/>
  <c r="P14" i="25"/>
  <c r="O14" i="25"/>
  <c r="N14" i="25"/>
  <c r="M14" i="25"/>
  <c r="L14" i="25"/>
  <c r="K14" i="25"/>
  <c r="J14" i="25"/>
  <c r="I14" i="25"/>
  <c r="P13" i="25"/>
  <c r="O13" i="25"/>
  <c r="N13" i="25"/>
  <c r="M13" i="25"/>
  <c r="L13" i="25"/>
  <c r="K13" i="25"/>
  <c r="J13" i="25"/>
  <c r="I13" i="25"/>
  <c r="P12" i="25"/>
  <c r="O12" i="25"/>
  <c r="N12" i="25"/>
  <c r="M12" i="25"/>
  <c r="L12" i="25"/>
  <c r="K12" i="25"/>
  <c r="J12" i="25"/>
  <c r="I12" i="25"/>
  <c r="P11" i="25"/>
  <c r="O11" i="25"/>
  <c r="N11" i="25"/>
  <c r="M11" i="25"/>
  <c r="L11" i="25"/>
  <c r="K11" i="25"/>
  <c r="J11" i="25"/>
  <c r="I11" i="25"/>
  <c r="P10" i="25"/>
  <c r="O10" i="25"/>
  <c r="N10" i="25"/>
  <c r="M10" i="25"/>
  <c r="L10" i="25"/>
  <c r="K10" i="25"/>
  <c r="J10" i="25"/>
  <c r="I10" i="25"/>
  <c r="P9" i="25"/>
  <c r="O9" i="25"/>
  <c r="N9" i="25"/>
  <c r="M9" i="25"/>
  <c r="K9" i="25"/>
  <c r="J9" i="25"/>
  <c r="I9" i="25"/>
  <c r="P8" i="25"/>
  <c r="O8" i="25"/>
  <c r="N8" i="25"/>
  <c r="M8" i="25"/>
  <c r="L8" i="25"/>
  <c r="K8" i="25"/>
  <c r="J8" i="25"/>
  <c r="I8" i="25"/>
  <c r="P7" i="25"/>
  <c r="O7" i="25"/>
  <c r="N7" i="25"/>
  <c r="M7" i="25"/>
  <c r="L7" i="25"/>
  <c r="K7" i="25"/>
  <c r="J7" i="25"/>
  <c r="I7" i="25"/>
  <c r="P6" i="25"/>
  <c r="O6" i="25"/>
  <c r="N6" i="25"/>
  <c r="M6" i="25"/>
  <c r="L6" i="25"/>
  <c r="K6" i="25"/>
  <c r="J6" i="25"/>
  <c r="I6" i="25"/>
  <c r="P5" i="25"/>
  <c r="O5" i="25"/>
  <c r="N5" i="25"/>
  <c r="M5" i="25"/>
  <c r="L5" i="25"/>
  <c r="K5" i="25"/>
  <c r="J5" i="25"/>
  <c r="I5" i="25"/>
  <c r="P4" i="25"/>
  <c r="O4" i="25"/>
  <c r="N4" i="25"/>
  <c r="M4" i="25"/>
  <c r="L4" i="25"/>
  <c r="K4" i="25"/>
  <c r="J4" i="25"/>
  <c r="I4" i="25"/>
  <c r="P3" i="25"/>
  <c r="O3" i="25"/>
  <c r="N3" i="25"/>
  <c r="M3" i="25"/>
  <c r="L3" i="25"/>
  <c r="K3" i="25"/>
  <c r="J3" i="25"/>
  <c r="I3" i="25"/>
  <c r="P2" i="25"/>
  <c r="O2" i="25"/>
  <c r="N2" i="25"/>
  <c r="M2" i="25"/>
  <c r="L2" i="25"/>
  <c r="K2" i="25"/>
  <c r="J2" i="25"/>
  <c r="I2" i="25"/>
  <c r="P1" i="25"/>
  <c r="O1" i="25"/>
  <c r="N1" i="25"/>
  <c r="M1" i="25"/>
  <c r="L1" i="25"/>
  <c r="K1" i="25"/>
  <c r="J1" i="25"/>
  <c r="I1" i="25"/>
  <c r="I19" i="24"/>
  <c r="C5" i="24" s="1"/>
  <c r="P26" i="24"/>
  <c r="O26" i="24"/>
  <c r="N26" i="24"/>
  <c r="M26" i="24"/>
  <c r="L26" i="24"/>
  <c r="K26" i="24"/>
  <c r="J26" i="24"/>
  <c r="I26" i="24"/>
  <c r="P25" i="24"/>
  <c r="O25" i="24"/>
  <c r="N25" i="24"/>
  <c r="M25" i="24"/>
  <c r="L25" i="24"/>
  <c r="K25" i="24"/>
  <c r="J25" i="24"/>
  <c r="I25" i="24"/>
  <c r="P24" i="24"/>
  <c r="O24" i="24"/>
  <c r="N24" i="24"/>
  <c r="M24" i="24"/>
  <c r="L24" i="24"/>
  <c r="K24" i="24"/>
  <c r="J24" i="24"/>
  <c r="I24" i="24"/>
  <c r="P23" i="24"/>
  <c r="O23" i="24"/>
  <c r="N23" i="24"/>
  <c r="M23" i="24"/>
  <c r="L23" i="24"/>
  <c r="K23" i="24"/>
  <c r="J23" i="24"/>
  <c r="I23" i="24"/>
  <c r="P22" i="24"/>
  <c r="O22" i="24"/>
  <c r="N22" i="24"/>
  <c r="M22" i="24"/>
  <c r="L22" i="24"/>
  <c r="K22" i="24"/>
  <c r="J22" i="24"/>
  <c r="I22" i="24"/>
  <c r="P21" i="24"/>
  <c r="O21" i="24"/>
  <c r="N21" i="24"/>
  <c r="M21" i="24"/>
  <c r="L21" i="24"/>
  <c r="K21" i="24"/>
  <c r="J21" i="24"/>
  <c r="I21" i="24"/>
  <c r="P20" i="24"/>
  <c r="O20" i="24"/>
  <c r="N20" i="24"/>
  <c r="M20" i="24"/>
  <c r="L20" i="24"/>
  <c r="K20" i="24"/>
  <c r="J20" i="24"/>
  <c r="I20" i="24"/>
  <c r="P19" i="24"/>
  <c r="O19" i="24"/>
  <c r="N19" i="24"/>
  <c r="M19" i="24"/>
  <c r="L19" i="24"/>
  <c r="K19" i="24"/>
  <c r="J19" i="24"/>
  <c r="P18" i="24"/>
  <c r="O18" i="24"/>
  <c r="N18" i="24"/>
  <c r="M18" i="24"/>
  <c r="L18" i="24"/>
  <c r="K18" i="24"/>
  <c r="J18" i="24"/>
  <c r="I18" i="24"/>
  <c r="P17" i="24"/>
  <c r="O17" i="24"/>
  <c r="N17" i="24"/>
  <c r="M17" i="24"/>
  <c r="L17" i="24"/>
  <c r="K17" i="24"/>
  <c r="J17" i="24"/>
  <c r="I17" i="24"/>
  <c r="P16" i="24"/>
  <c r="O16" i="24"/>
  <c r="N16" i="24"/>
  <c r="M16" i="24"/>
  <c r="L16" i="24"/>
  <c r="K16" i="24"/>
  <c r="J16" i="24"/>
  <c r="I16" i="24"/>
  <c r="P15" i="24"/>
  <c r="O15" i="24"/>
  <c r="N15" i="24"/>
  <c r="M15" i="24"/>
  <c r="L15" i="24"/>
  <c r="K15" i="24"/>
  <c r="J15" i="24"/>
  <c r="I15" i="24"/>
  <c r="P14" i="24"/>
  <c r="O14" i="24"/>
  <c r="N14" i="24"/>
  <c r="M14" i="24"/>
  <c r="L14" i="24"/>
  <c r="K14" i="24"/>
  <c r="J14" i="24"/>
  <c r="I14" i="24"/>
  <c r="P13" i="24"/>
  <c r="O13" i="24"/>
  <c r="N13" i="24"/>
  <c r="M13" i="24"/>
  <c r="L13" i="24"/>
  <c r="K13" i="24"/>
  <c r="J13" i="24"/>
  <c r="I13" i="24"/>
  <c r="P12" i="24"/>
  <c r="O12" i="24"/>
  <c r="N12" i="24"/>
  <c r="M12" i="24"/>
  <c r="L12" i="24"/>
  <c r="K12" i="24"/>
  <c r="J12" i="24"/>
  <c r="I12" i="24"/>
  <c r="P11" i="24"/>
  <c r="O11" i="24"/>
  <c r="N11" i="24"/>
  <c r="M11" i="24"/>
  <c r="L11" i="24"/>
  <c r="K11" i="24"/>
  <c r="J11" i="24"/>
  <c r="I11" i="24"/>
  <c r="P10" i="24"/>
  <c r="O10" i="24"/>
  <c r="N10" i="24"/>
  <c r="M10" i="24"/>
  <c r="L10" i="24"/>
  <c r="K10" i="24"/>
  <c r="J10" i="24"/>
  <c r="I10" i="24"/>
  <c r="P9" i="24"/>
  <c r="O9" i="24"/>
  <c r="N9" i="24"/>
  <c r="M9" i="24"/>
  <c r="K9" i="24"/>
  <c r="J9" i="24"/>
  <c r="I9" i="24"/>
  <c r="P8" i="24"/>
  <c r="O8" i="24"/>
  <c r="N8" i="24"/>
  <c r="M8" i="24"/>
  <c r="L8" i="24"/>
  <c r="K8" i="24"/>
  <c r="J8" i="24"/>
  <c r="I8" i="24"/>
  <c r="P7" i="24"/>
  <c r="O7" i="24"/>
  <c r="M7" i="24"/>
  <c r="L7" i="24"/>
  <c r="K7" i="24"/>
  <c r="J7" i="24"/>
  <c r="I7" i="24"/>
  <c r="P6" i="24"/>
  <c r="O6" i="24"/>
  <c r="N6" i="24"/>
  <c r="M6" i="24"/>
  <c r="L6" i="24"/>
  <c r="K6" i="24"/>
  <c r="J6" i="24"/>
  <c r="I6" i="24"/>
  <c r="P5" i="24"/>
  <c r="O5" i="24"/>
  <c r="N5" i="24"/>
  <c r="M5" i="24"/>
  <c r="L5" i="24"/>
  <c r="K5" i="24"/>
  <c r="J5" i="24"/>
  <c r="I5" i="24"/>
  <c r="P4" i="24"/>
  <c r="O4" i="24"/>
  <c r="N4" i="24"/>
  <c r="M4" i="24"/>
  <c r="L4" i="24"/>
  <c r="K4" i="24"/>
  <c r="J4" i="24"/>
  <c r="I4" i="24"/>
  <c r="P3" i="24"/>
  <c r="O3" i="24"/>
  <c r="N3" i="24"/>
  <c r="M3" i="24"/>
  <c r="L3" i="24"/>
  <c r="K3" i="24"/>
  <c r="J3" i="24"/>
  <c r="I3" i="24"/>
  <c r="P2" i="24"/>
  <c r="O2" i="24"/>
  <c r="N2" i="24"/>
  <c r="M2" i="24"/>
  <c r="L2" i="24"/>
  <c r="K2" i="24"/>
  <c r="J2" i="24"/>
  <c r="I2" i="24"/>
  <c r="P1" i="24"/>
  <c r="O1" i="24"/>
  <c r="N1" i="24"/>
  <c r="M1" i="24"/>
  <c r="L1" i="24"/>
  <c r="K1" i="24"/>
  <c r="J1" i="24"/>
  <c r="I1" i="24"/>
  <c r="L11" i="21"/>
  <c r="P26" i="21"/>
  <c r="O26" i="21"/>
  <c r="N26" i="21"/>
  <c r="M26" i="21"/>
  <c r="L26" i="21"/>
  <c r="K26" i="21"/>
  <c r="J26" i="21"/>
  <c r="I26" i="21"/>
  <c r="P25" i="21"/>
  <c r="O25" i="21"/>
  <c r="N25" i="21"/>
  <c r="M25" i="21"/>
  <c r="L25" i="21"/>
  <c r="K25" i="21"/>
  <c r="J25" i="21"/>
  <c r="I25" i="21"/>
  <c r="P24" i="21"/>
  <c r="O24" i="21"/>
  <c r="N24" i="21"/>
  <c r="M24" i="21"/>
  <c r="L24" i="21"/>
  <c r="K24" i="21"/>
  <c r="J24" i="21"/>
  <c r="I24" i="21"/>
  <c r="P23" i="21"/>
  <c r="O23" i="21"/>
  <c r="N23" i="21"/>
  <c r="M23" i="21"/>
  <c r="L23" i="21"/>
  <c r="K23" i="21"/>
  <c r="J23" i="21"/>
  <c r="I23" i="21"/>
  <c r="P22" i="21"/>
  <c r="O22" i="21"/>
  <c r="N22" i="21"/>
  <c r="M22" i="21"/>
  <c r="L22" i="21"/>
  <c r="K22" i="21"/>
  <c r="J22" i="21"/>
  <c r="I22" i="21"/>
  <c r="P21" i="21"/>
  <c r="O21" i="21"/>
  <c r="N21" i="21"/>
  <c r="M21" i="21"/>
  <c r="L21" i="21"/>
  <c r="K21" i="21"/>
  <c r="J21" i="21"/>
  <c r="I21" i="21"/>
  <c r="P20" i="21"/>
  <c r="O20" i="21"/>
  <c r="N20" i="21"/>
  <c r="M20" i="21"/>
  <c r="L20" i="21"/>
  <c r="K20" i="21"/>
  <c r="J20" i="21"/>
  <c r="I20" i="21"/>
  <c r="P19" i="21"/>
  <c r="O19" i="21"/>
  <c r="N19" i="21"/>
  <c r="M19" i="21"/>
  <c r="L19" i="21"/>
  <c r="K19" i="21"/>
  <c r="J19" i="21"/>
  <c r="I19" i="21"/>
  <c r="P18" i="21"/>
  <c r="O18" i="21"/>
  <c r="N18" i="21"/>
  <c r="M18" i="21"/>
  <c r="L18" i="21"/>
  <c r="K18" i="21"/>
  <c r="J18" i="21"/>
  <c r="I18" i="21"/>
  <c r="P17" i="21"/>
  <c r="O17" i="21"/>
  <c r="N17" i="21"/>
  <c r="M17" i="21"/>
  <c r="L17" i="21"/>
  <c r="K17" i="21"/>
  <c r="J17" i="21"/>
  <c r="I17" i="21"/>
  <c r="P16" i="21"/>
  <c r="O16" i="21"/>
  <c r="N16" i="21"/>
  <c r="M16" i="21"/>
  <c r="L16" i="21"/>
  <c r="K16" i="21"/>
  <c r="J16" i="21"/>
  <c r="I16" i="21"/>
  <c r="P15" i="21"/>
  <c r="O15" i="21"/>
  <c r="N15" i="21"/>
  <c r="M15" i="21"/>
  <c r="L15" i="21"/>
  <c r="K15" i="21"/>
  <c r="J15" i="21"/>
  <c r="I15" i="21"/>
  <c r="P14" i="21"/>
  <c r="O14" i="21"/>
  <c r="N14" i="21"/>
  <c r="M14" i="21"/>
  <c r="L14" i="21"/>
  <c r="K14" i="21"/>
  <c r="J14" i="21"/>
  <c r="I14" i="21"/>
  <c r="P13" i="21"/>
  <c r="O13" i="21"/>
  <c r="N13" i="21"/>
  <c r="M13" i="21"/>
  <c r="L13" i="21"/>
  <c r="K13" i="21"/>
  <c r="J13" i="21"/>
  <c r="I13" i="21"/>
  <c r="P12" i="21"/>
  <c r="O12" i="21"/>
  <c r="N12" i="21"/>
  <c r="M12" i="21"/>
  <c r="L12" i="21"/>
  <c r="K12" i="21"/>
  <c r="J12" i="21"/>
  <c r="I12" i="21"/>
  <c r="P11" i="21"/>
  <c r="O11" i="21"/>
  <c r="N11" i="21"/>
  <c r="M11" i="21"/>
  <c r="K11" i="21"/>
  <c r="J11" i="21"/>
  <c r="I11" i="21"/>
  <c r="P10" i="21"/>
  <c r="O10" i="21"/>
  <c r="N10" i="21"/>
  <c r="M10" i="21"/>
  <c r="L10" i="21"/>
  <c r="K10" i="21"/>
  <c r="J10" i="21"/>
  <c r="I10" i="21"/>
  <c r="P9" i="21"/>
  <c r="O9" i="21"/>
  <c r="N9" i="21"/>
  <c r="M9" i="21"/>
  <c r="K9" i="21"/>
  <c r="J9" i="21"/>
  <c r="I9" i="21"/>
  <c r="C5" i="21" s="1"/>
  <c r="P8" i="21"/>
  <c r="O8" i="21"/>
  <c r="N8" i="21"/>
  <c r="M8" i="21"/>
  <c r="L8" i="21"/>
  <c r="K8" i="21"/>
  <c r="J8" i="21"/>
  <c r="I8" i="21"/>
  <c r="P7" i="21"/>
  <c r="O7" i="21"/>
  <c r="N7" i="21"/>
  <c r="M7" i="21"/>
  <c r="L7" i="21"/>
  <c r="K7" i="21"/>
  <c r="J7" i="21"/>
  <c r="I7" i="21"/>
  <c r="P6" i="21"/>
  <c r="O6" i="21"/>
  <c r="N6" i="21"/>
  <c r="M6" i="21"/>
  <c r="L6" i="21"/>
  <c r="K6" i="21"/>
  <c r="J6" i="21"/>
  <c r="I6" i="21"/>
  <c r="P5" i="21"/>
  <c r="O5" i="21"/>
  <c r="N5" i="21"/>
  <c r="M5" i="21"/>
  <c r="L5" i="21"/>
  <c r="K5" i="21"/>
  <c r="J5" i="21"/>
  <c r="I5" i="21"/>
  <c r="P4" i="21"/>
  <c r="O4" i="21"/>
  <c r="N4" i="21"/>
  <c r="M4" i="21"/>
  <c r="L4" i="21"/>
  <c r="K4" i="21"/>
  <c r="J4" i="21"/>
  <c r="I4" i="21"/>
  <c r="P3" i="21"/>
  <c r="O3" i="21"/>
  <c r="N3" i="21"/>
  <c r="M3" i="21"/>
  <c r="L3" i="21"/>
  <c r="K3" i="21"/>
  <c r="J3" i="21"/>
  <c r="I3" i="21"/>
  <c r="P2" i="21"/>
  <c r="O2" i="21"/>
  <c r="N2" i="21"/>
  <c r="M2" i="21"/>
  <c r="L2" i="21"/>
  <c r="K2" i="21"/>
  <c r="J2" i="21"/>
  <c r="I2" i="21"/>
  <c r="P1" i="21"/>
  <c r="O1" i="21"/>
  <c r="N1" i="21"/>
  <c r="M1" i="21"/>
  <c r="L1" i="21"/>
  <c r="K1" i="21"/>
  <c r="J1" i="21"/>
  <c r="I1" i="21"/>
  <c r="P1" i="17"/>
  <c r="Q1" i="17"/>
  <c r="R1" i="17"/>
  <c r="S1" i="17"/>
  <c r="P2" i="17"/>
  <c r="Q2" i="17"/>
  <c r="R2" i="17"/>
  <c r="S2" i="17"/>
  <c r="P3" i="17"/>
  <c r="Q3" i="17"/>
  <c r="R3" i="17"/>
  <c r="S3" i="17"/>
  <c r="P4" i="17"/>
  <c r="Q4" i="17"/>
  <c r="R4" i="17"/>
  <c r="S4" i="17"/>
  <c r="H1" i="17"/>
  <c r="I1" i="17"/>
  <c r="J1" i="17"/>
  <c r="L1" i="17"/>
  <c r="M1" i="17"/>
  <c r="N1" i="17"/>
  <c r="U1" i="17"/>
  <c r="V1" i="17"/>
  <c r="W1" i="17"/>
  <c r="H2" i="17"/>
  <c r="I2" i="17"/>
  <c r="J2" i="17"/>
  <c r="L2" i="17"/>
  <c r="M2" i="17"/>
  <c r="N2" i="17"/>
  <c r="U2" i="17"/>
  <c r="V2" i="17"/>
  <c r="W2" i="17"/>
  <c r="P5" i="17"/>
  <c r="Q5" i="17"/>
  <c r="R5" i="17"/>
  <c r="S5" i="17"/>
  <c r="P6" i="17"/>
  <c r="C5" i="17" s="1"/>
  <c r="Q6" i="17"/>
  <c r="R6" i="17"/>
  <c r="S6" i="17"/>
  <c r="AA2" i="9"/>
  <c r="P2" i="11"/>
  <c r="Q2" i="11"/>
  <c r="R2" i="11"/>
  <c r="S2" i="11"/>
  <c r="P3" i="11"/>
  <c r="Q3" i="11"/>
  <c r="R3" i="11"/>
  <c r="S3" i="11"/>
  <c r="P4" i="11"/>
  <c r="Q4" i="11"/>
  <c r="R4" i="11"/>
  <c r="S4" i="11"/>
  <c r="P5" i="11"/>
  <c r="Q5" i="11"/>
  <c r="R5" i="11"/>
  <c r="S5" i="11"/>
  <c r="P6" i="11"/>
  <c r="Q6" i="11"/>
  <c r="R6" i="11"/>
  <c r="S6" i="11"/>
  <c r="Q1" i="11"/>
  <c r="R1" i="11"/>
  <c r="S1" i="11"/>
  <c r="P1" i="11"/>
  <c r="W2" i="11"/>
  <c r="V2" i="11"/>
  <c r="U2" i="11"/>
  <c r="N2" i="11"/>
  <c r="M2" i="11"/>
  <c r="L2" i="11"/>
  <c r="J2" i="11"/>
  <c r="I2" i="11"/>
  <c r="H2" i="11"/>
  <c r="W1" i="11"/>
  <c r="V1" i="11"/>
  <c r="U1" i="11"/>
  <c r="N1" i="11"/>
  <c r="M1" i="11"/>
  <c r="L1" i="11"/>
  <c r="J1" i="11"/>
  <c r="I1" i="11"/>
  <c r="H1" i="11"/>
  <c r="AB2" i="13"/>
  <c r="AA2" i="13"/>
  <c r="Z2" i="13"/>
  <c r="Y2" i="13"/>
  <c r="W2" i="13"/>
  <c r="V2" i="13"/>
  <c r="U2" i="13"/>
  <c r="S2" i="13"/>
  <c r="R2" i="13"/>
  <c r="Q2" i="13"/>
  <c r="P2" i="13"/>
  <c r="C5" i="13" s="1"/>
  <c r="N2" i="13"/>
  <c r="M2" i="13"/>
  <c r="L2" i="13"/>
  <c r="J2" i="13"/>
  <c r="I2" i="13"/>
  <c r="H2" i="13"/>
  <c r="AB1" i="13"/>
  <c r="AA1" i="13"/>
  <c r="Z1" i="13"/>
  <c r="Y1" i="13"/>
  <c r="W1" i="13"/>
  <c r="V1" i="13"/>
  <c r="U1" i="13"/>
  <c r="S1" i="13"/>
  <c r="R1" i="13"/>
  <c r="Q1" i="13"/>
  <c r="P1" i="13"/>
  <c r="N1" i="13"/>
  <c r="M1" i="13"/>
  <c r="L1" i="13"/>
  <c r="J1" i="13"/>
  <c r="I1" i="13"/>
  <c r="H1" i="13"/>
  <c r="Y2" i="9"/>
  <c r="Z2" i="9"/>
  <c r="AB2" i="9"/>
  <c r="Z1" i="9"/>
  <c r="AA1" i="9"/>
  <c r="AB1" i="9"/>
  <c r="Y1" i="9"/>
  <c r="U2" i="9"/>
  <c r="V2" i="9"/>
  <c r="W2" i="9"/>
  <c r="V1" i="9"/>
  <c r="W1" i="9"/>
  <c r="U1" i="9"/>
  <c r="P2" i="9"/>
  <c r="C5" i="9" s="1"/>
  <c r="Q2" i="9"/>
  <c r="R2" i="9"/>
  <c r="S2" i="9"/>
  <c r="Q1" i="9"/>
  <c r="R1" i="9"/>
  <c r="S1" i="9"/>
  <c r="P1" i="9"/>
  <c r="N2" i="9"/>
  <c r="M2" i="9"/>
  <c r="L2" i="9"/>
  <c r="J2" i="9"/>
  <c r="I2" i="9"/>
  <c r="H2" i="9"/>
  <c r="N1" i="9"/>
  <c r="M1" i="9"/>
  <c r="L1" i="9"/>
  <c r="J1" i="9"/>
  <c r="I1" i="9"/>
  <c r="H1" i="9"/>
  <c r="AB2" i="4"/>
  <c r="AA2" i="4"/>
  <c r="Z2" i="4"/>
  <c r="Y2" i="4"/>
  <c r="W2" i="4"/>
  <c r="V2" i="4"/>
  <c r="U2" i="4"/>
  <c r="S2" i="4"/>
  <c r="R2" i="4"/>
  <c r="Q2" i="4"/>
  <c r="P2" i="4"/>
  <c r="N2" i="4"/>
  <c r="M2" i="4"/>
  <c r="L2" i="4"/>
  <c r="J2" i="4"/>
  <c r="I2" i="4"/>
  <c r="H2" i="4"/>
  <c r="AB1" i="4"/>
  <c r="AA1" i="4"/>
  <c r="Z1" i="4"/>
  <c r="Y1" i="4"/>
  <c r="W1" i="4"/>
  <c r="V1" i="4"/>
  <c r="U1" i="4"/>
  <c r="S1" i="4"/>
  <c r="R1" i="4"/>
  <c r="Q1" i="4"/>
  <c r="P1" i="4"/>
  <c r="N1" i="4"/>
  <c r="M1" i="4"/>
  <c r="L1" i="4"/>
  <c r="J1" i="4"/>
  <c r="I1" i="4"/>
  <c r="H1" i="4"/>
  <c r="Y2" i="3"/>
  <c r="Z2" i="3"/>
  <c r="AA2" i="3"/>
  <c r="AB2" i="3"/>
  <c r="Z1" i="3"/>
  <c r="AA1" i="3"/>
  <c r="AB1" i="3"/>
  <c r="Y1" i="3"/>
  <c r="U2" i="3"/>
  <c r="V2" i="3"/>
  <c r="W2" i="3"/>
  <c r="V1" i="3"/>
  <c r="W1" i="3"/>
  <c r="U1" i="3"/>
  <c r="P2" i="3"/>
  <c r="Q2" i="3"/>
  <c r="R2" i="3"/>
  <c r="S2" i="3"/>
  <c r="Q1" i="3"/>
  <c r="R1" i="3"/>
  <c r="S1" i="3"/>
  <c r="P1" i="3"/>
  <c r="L2" i="3"/>
  <c r="M2" i="3"/>
  <c r="N2" i="3"/>
  <c r="M1" i="3"/>
  <c r="N1" i="3"/>
  <c r="L1" i="3"/>
  <c r="H2" i="3"/>
  <c r="I2" i="3"/>
  <c r="J2" i="3"/>
  <c r="I1" i="3"/>
  <c r="J1" i="3"/>
  <c r="H1" i="3"/>
  <c r="F14" i="19"/>
  <c r="E8" i="19" s="1"/>
  <c r="AB1" i="19"/>
  <c r="AA1" i="19"/>
  <c r="Z1" i="19"/>
  <c r="Y1" i="19"/>
  <c r="S1" i="19"/>
  <c r="R1" i="19"/>
  <c r="Q1" i="19"/>
  <c r="P1" i="19"/>
  <c r="Z1" i="7"/>
  <c r="AA1" i="7"/>
  <c r="AB1" i="7"/>
  <c r="Y1" i="7"/>
  <c r="Q1" i="7"/>
  <c r="R1" i="7"/>
  <c r="S1" i="7"/>
  <c r="P1" i="7"/>
  <c r="B6" i="13"/>
  <c r="B6" i="9"/>
  <c r="B9" i="14"/>
  <c r="B10" i="14"/>
  <c r="B11" i="14"/>
  <c r="B13" i="14"/>
  <c r="B14" i="14"/>
  <c r="B15" i="14"/>
  <c r="B17" i="14"/>
  <c r="B18" i="14"/>
  <c r="B19" i="14"/>
  <c r="B21" i="14"/>
  <c r="B22" i="14"/>
  <c r="B23" i="14"/>
  <c r="B34" i="14"/>
  <c r="C34" i="14"/>
  <c r="D34" i="14"/>
  <c r="E34" i="14"/>
  <c r="F34" i="14"/>
  <c r="B35" i="14"/>
  <c r="C35" i="14"/>
  <c r="D35" i="14"/>
  <c r="E35" i="14"/>
  <c r="F35" i="14"/>
  <c r="B36" i="14"/>
  <c r="C36" i="14"/>
  <c r="D36" i="14"/>
  <c r="E36" i="14"/>
  <c r="F36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A13" i="12"/>
  <c r="B13" i="12"/>
  <c r="A14" i="12"/>
  <c r="B14" i="12"/>
  <c r="A15" i="12"/>
  <c r="B15" i="12"/>
  <c r="A16" i="12"/>
  <c r="A17" i="12"/>
  <c r="B17" i="12"/>
  <c r="A18" i="12"/>
  <c r="B18" i="12"/>
  <c r="A19" i="12"/>
  <c r="B19" i="12"/>
  <c r="A20" i="12"/>
  <c r="A21" i="12"/>
  <c r="B21" i="12"/>
  <c r="A22" i="12"/>
  <c r="B22" i="12"/>
  <c r="A23" i="12"/>
  <c r="B23" i="12"/>
  <c r="A24" i="12"/>
  <c r="B24" i="12"/>
  <c r="C24" i="12"/>
  <c r="A25" i="12"/>
  <c r="B25" i="12"/>
  <c r="A26" i="12"/>
  <c r="B26" i="12"/>
  <c r="A27" i="12"/>
  <c r="B27" i="12"/>
  <c r="A28" i="12"/>
  <c r="A29" i="12"/>
  <c r="A30" i="12"/>
  <c r="A31" i="12"/>
  <c r="A32" i="12"/>
  <c r="A33" i="12"/>
  <c r="A34" i="12"/>
  <c r="A35" i="12"/>
  <c r="B35" i="12"/>
  <c r="C35" i="12"/>
  <c r="D35" i="12"/>
  <c r="E35" i="12"/>
  <c r="F35" i="12"/>
  <c r="A36" i="12"/>
  <c r="B36" i="12"/>
  <c r="C36" i="12"/>
  <c r="D36" i="12"/>
  <c r="E36" i="12"/>
  <c r="F36" i="12"/>
  <c r="A37" i="12"/>
  <c r="B37" i="12"/>
  <c r="C37" i="12"/>
  <c r="D37" i="12"/>
  <c r="E37" i="12"/>
  <c r="F37" i="12"/>
  <c r="A38" i="12"/>
  <c r="B38" i="12"/>
  <c r="C38" i="12"/>
  <c r="D38" i="12"/>
  <c r="E38" i="12"/>
  <c r="F38" i="12"/>
  <c r="B5" i="12"/>
  <c r="H116" i="1" l="1"/>
  <c r="L116" i="1" s="1"/>
  <c r="L114" i="1"/>
  <c r="E114" i="1"/>
  <c r="E115" i="1"/>
  <c r="D5" i="13"/>
  <c r="E5" i="13" s="1"/>
  <c r="F5" i="13" s="1"/>
  <c r="D5" i="9"/>
  <c r="E5" i="9" s="1"/>
  <c r="F5" i="9" s="1"/>
  <c r="D5" i="24"/>
  <c r="E5" i="24" s="1"/>
  <c r="F5" i="24" s="1"/>
  <c r="D5" i="21"/>
  <c r="D5" i="20"/>
  <c r="B6" i="20" s="1"/>
  <c r="C6" i="20" s="1"/>
  <c r="D6" i="20" s="1"/>
  <c r="E6" i="20" s="1"/>
  <c r="E5" i="25"/>
  <c r="E7" i="25" s="1"/>
  <c r="F7" i="25" s="1"/>
  <c r="E8" i="25" s="1"/>
  <c r="C6" i="13"/>
  <c r="D6" i="13" s="1"/>
  <c r="E6" i="13" s="1"/>
  <c r="F6" i="13" s="1"/>
  <c r="C6" i="9"/>
  <c r="D6" i="9" s="1"/>
  <c r="E6" i="9" s="1"/>
  <c r="F6" i="9" s="1"/>
  <c r="D5" i="17"/>
  <c r="B7" i="9"/>
  <c r="B6" i="21" l="1"/>
  <c r="B6" i="25" s="1"/>
  <c r="C6" i="25" s="1"/>
  <c r="D6" i="25" s="1"/>
  <c r="E6" i="25" s="1"/>
  <c r="E11" i="25" s="1"/>
  <c r="F11" i="25" s="1"/>
  <c r="E12" i="25" s="1"/>
  <c r="F12" i="25" s="1"/>
  <c r="E13" i="25" s="1"/>
  <c r="F13" i="25" s="1"/>
  <c r="E14" i="25" s="1"/>
  <c r="F14" i="25" s="1"/>
  <c r="B6" i="17"/>
  <c r="C6" i="17" s="1"/>
  <c r="D6" i="17" s="1"/>
  <c r="B7" i="17" s="1"/>
  <c r="B6" i="24"/>
  <c r="C6" i="24" s="1"/>
  <c r="D6" i="24" s="1"/>
  <c r="E6" i="24" s="1"/>
  <c r="F6" i="24" s="1"/>
  <c r="C7" i="24" s="1"/>
  <c r="E5" i="21"/>
  <c r="E7" i="21" s="1"/>
  <c r="E15" i="21" s="1"/>
  <c r="B7" i="13"/>
  <c r="E5" i="20"/>
  <c r="F8" i="25"/>
  <c r="E9" i="25" s="1"/>
  <c r="F9" i="25" s="1"/>
  <c r="E10" i="25" s="1"/>
  <c r="F10" i="25" s="1"/>
  <c r="F6" i="20"/>
  <c r="B8" i="9"/>
  <c r="C7" i="9"/>
  <c r="D7" i="9" s="1"/>
  <c r="E7" i="9" s="1"/>
  <c r="F7" i="9" s="1"/>
  <c r="A2" i="14"/>
  <c r="B2" i="14"/>
  <c r="C2" i="14"/>
  <c r="D2" i="14"/>
  <c r="E2" i="14"/>
  <c r="F2" i="14"/>
  <c r="A3" i="14"/>
  <c r="B3" i="14"/>
  <c r="C3" i="14"/>
  <c r="D3" i="14"/>
  <c r="E3" i="14"/>
  <c r="F3" i="14"/>
  <c r="A4" i="14"/>
  <c r="B4" i="14"/>
  <c r="C4" i="14"/>
  <c r="D4" i="14"/>
  <c r="E4" i="14"/>
  <c r="F4" i="14"/>
  <c r="A5" i="14"/>
  <c r="B1" i="14"/>
  <c r="C1" i="14"/>
  <c r="D1" i="14"/>
  <c r="E1" i="14"/>
  <c r="F1" i="14"/>
  <c r="A1" i="14"/>
  <c r="B1" i="12"/>
  <c r="B2" i="12"/>
  <c r="B3" i="12"/>
  <c r="B4" i="12"/>
  <c r="C4" i="12"/>
  <c r="D4" i="12"/>
  <c r="E4" i="12"/>
  <c r="F4" i="12"/>
  <c r="A2" i="12"/>
  <c r="A3" i="12"/>
  <c r="A4" i="12"/>
  <c r="A5" i="12"/>
  <c r="A1" i="12"/>
  <c r="C6" i="21" l="1"/>
  <c r="D6" i="21" s="1"/>
  <c r="E6" i="21" s="1"/>
  <c r="E11" i="21" s="1"/>
  <c r="F11" i="21" s="1"/>
  <c r="E12" i="21" s="1"/>
  <c r="F12" i="21" s="1"/>
  <c r="E13" i="21" s="1"/>
  <c r="F13" i="21" s="1"/>
  <c r="E14" i="21" s="1"/>
  <c r="F14" i="21" s="1"/>
  <c r="C7" i="17"/>
  <c r="D7" i="17" s="1"/>
  <c r="E7" i="17" s="1"/>
  <c r="B22" i="24"/>
  <c r="C22" i="24" s="1"/>
  <c r="D22" i="24" s="1"/>
  <c r="E22" i="24" s="1"/>
  <c r="F22" i="24" s="1"/>
  <c r="F5" i="20"/>
  <c r="C7" i="20"/>
  <c r="D7" i="20" s="1"/>
  <c r="E7" i="20" s="1"/>
  <c r="F7" i="20" s="1"/>
  <c r="C8" i="20" s="1"/>
  <c r="D8" i="20" s="1"/>
  <c r="E8" i="20" s="1"/>
  <c r="F8" i="20" s="1"/>
  <c r="F7" i="21"/>
  <c r="D7" i="24"/>
  <c r="E7" i="24" s="1"/>
  <c r="F7" i="24" s="1"/>
  <c r="C8" i="24" s="1"/>
  <c r="E19" i="21"/>
  <c r="C7" i="13"/>
  <c r="D7" i="13" s="1"/>
  <c r="C8" i="9"/>
  <c r="D8" i="9" s="1"/>
  <c r="E8" i="9" s="1"/>
  <c r="B25" i="9"/>
  <c r="E52" i="1"/>
  <c r="E57" i="1"/>
  <c r="E56" i="1"/>
  <c r="E51" i="1"/>
  <c r="E50" i="1"/>
  <c r="E46" i="1"/>
  <c r="E45" i="1"/>
  <c r="E41" i="1"/>
  <c r="E40" i="1"/>
  <c r="T29" i="1"/>
  <c r="T28" i="1"/>
  <c r="T27" i="1"/>
  <c r="T26" i="1"/>
  <c r="T25" i="1"/>
  <c r="T21" i="1"/>
  <c r="T20" i="1"/>
  <c r="T19" i="1"/>
  <c r="T18" i="1"/>
  <c r="T17" i="1"/>
  <c r="T11" i="1"/>
  <c r="T12" i="1"/>
  <c r="T13" i="1"/>
  <c r="T14" i="1"/>
  <c r="T10" i="1"/>
  <c r="E35" i="1"/>
  <c r="E34" i="1"/>
  <c r="E33" i="1"/>
  <c r="E32" i="1"/>
  <c r="E28" i="1"/>
  <c r="E27" i="1"/>
  <c r="E26" i="1"/>
  <c r="E25" i="1"/>
  <c r="E13" i="1"/>
  <c r="E12" i="1"/>
  <c r="E11" i="1"/>
  <c r="E10" i="1"/>
  <c r="E18" i="1"/>
  <c r="E19" i="1"/>
  <c r="E20" i="1"/>
  <c r="E17" i="1"/>
  <c r="B6" i="3"/>
  <c r="C5" i="3"/>
  <c r="C5" i="12" s="1"/>
  <c r="F7" i="17" l="1"/>
  <c r="B8" i="17"/>
  <c r="E42" i="1"/>
  <c r="U25" i="1"/>
  <c r="E53" i="1"/>
  <c r="E58" i="1"/>
  <c r="E47" i="1"/>
  <c r="U27" i="1"/>
  <c r="B9" i="20"/>
  <c r="F15" i="21"/>
  <c r="E8" i="21"/>
  <c r="D8" i="24"/>
  <c r="E8" i="24" s="1"/>
  <c r="F8" i="24" s="1"/>
  <c r="C9" i="24" s="1"/>
  <c r="D9" i="24" s="1"/>
  <c r="E9" i="24" s="1"/>
  <c r="F9" i="24" s="1"/>
  <c r="F19" i="21"/>
  <c r="E20" i="21"/>
  <c r="E7" i="13"/>
  <c r="F7" i="13" s="1"/>
  <c r="C25" i="9"/>
  <c r="D25" i="9" s="1"/>
  <c r="E25" i="9" s="1"/>
  <c r="F25" i="9" s="1"/>
  <c r="B26" i="9"/>
  <c r="C9" i="9"/>
  <c r="D9" i="9" s="1"/>
  <c r="E9" i="9" s="1"/>
  <c r="F9" i="9" s="1"/>
  <c r="C10" i="9" s="1"/>
  <c r="D10" i="9" s="1"/>
  <c r="E10" i="9" s="1"/>
  <c r="F10" i="9" s="1"/>
  <c r="C11" i="9" s="1"/>
  <c r="D11" i="9" s="1"/>
  <c r="E11" i="9" s="1"/>
  <c r="F11" i="9" s="1"/>
  <c r="F8" i="9"/>
  <c r="D5" i="3"/>
  <c r="D5" i="12" s="1"/>
  <c r="B7" i="3"/>
  <c r="B8" i="3"/>
  <c r="C6" i="3"/>
  <c r="C6" i="12" s="1"/>
  <c r="B18" i="20" l="1"/>
  <c r="C18" i="20" s="1"/>
  <c r="D18" i="20" s="1"/>
  <c r="E18" i="20" s="1"/>
  <c r="B10" i="24"/>
  <c r="C10" i="24" s="1"/>
  <c r="D10" i="24" s="1"/>
  <c r="E10" i="24" s="1"/>
  <c r="F10" i="24" s="1"/>
  <c r="C11" i="24" s="1"/>
  <c r="D11" i="24" s="1"/>
  <c r="E11" i="24" s="1"/>
  <c r="F11" i="24" s="1"/>
  <c r="C12" i="24" s="1"/>
  <c r="D12" i="24" s="1"/>
  <c r="E12" i="24" s="1"/>
  <c r="F12" i="24" s="1"/>
  <c r="C13" i="24" s="1"/>
  <c r="D13" i="24" s="1"/>
  <c r="E13" i="24" s="1"/>
  <c r="F13" i="24" s="1"/>
  <c r="C9" i="20"/>
  <c r="D9" i="20" s="1"/>
  <c r="E9" i="20" s="1"/>
  <c r="F9" i="20" s="1"/>
  <c r="E16" i="21"/>
  <c r="F8" i="21"/>
  <c r="F18" i="20"/>
  <c r="F20" i="21"/>
  <c r="E21" i="21"/>
  <c r="E22" i="21"/>
  <c r="B27" i="9"/>
  <c r="C27" i="9" s="1"/>
  <c r="D27" i="9" s="1"/>
  <c r="B31" i="9" s="1"/>
  <c r="C26" i="9"/>
  <c r="D26" i="9" s="1"/>
  <c r="E26" i="9" s="1"/>
  <c r="F26" i="9" s="1"/>
  <c r="D6" i="3"/>
  <c r="D6" i="12" s="1"/>
  <c r="C7" i="3"/>
  <c r="C7" i="12" s="1"/>
  <c r="E5" i="3"/>
  <c r="E5" i="12" s="1"/>
  <c r="C8" i="3"/>
  <c r="C8" i="12" s="1"/>
  <c r="B25" i="3"/>
  <c r="F16" i="21" l="1"/>
  <c r="E9" i="21"/>
  <c r="C10" i="20"/>
  <c r="D10" i="20" s="1"/>
  <c r="E10" i="20" s="1"/>
  <c r="F10" i="20" s="1"/>
  <c r="C11" i="20" s="1"/>
  <c r="D11" i="20" s="1"/>
  <c r="E11" i="20" s="1"/>
  <c r="F11" i="20" s="1"/>
  <c r="F21" i="21"/>
  <c r="F22" i="21"/>
  <c r="E27" i="9"/>
  <c r="F27" i="9" s="1"/>
  <c r="D7" i="3"/>
  <c r="D7" i="12" s="1"/>
  <c r="F5" i="3"/>
  <c r="F5" i="12" s="1"/>
  <c r="D8" i="3"/>
  <c r="D8" i="12" s="1"/>
  <c r="E6" i="3"/>
  <c r="E6" i="12" s="1"/>
  <c r="B26" i="3"/>
  <c r="C25" i="3"/>
  <c r="C25" i="12" s="1"/>
  <c r="B12" i="20" l="1"/>
  <c r="F9" i="21"/>
  <c r="E17" i="21"/>
  <c r="E8" i="3"/>
  <c r="E8" i="12" s="1"/>
  <c r="F6" i="3"/>
  <c r="F6" i="12" s="1"/>
  <c r="D25" i="3"/>
  <c r="D25" i="12" s="1"/>
  <c r="E7" i="3"/>
  <c r="E7" i="12" s="1"/>
  <c r="C26" i="3"/>
  <c r="C26" i="12" s="1"/>
  <c r="B27" i="3"/>
  <c r="C12" i="20" l="1"/>
  <c r="D12" i="20" s="1"/>
  <c r="E12" i="20" s="1"/>
  <c r="B14" i="24"/>
  <c r="C14" i="24" s="1"/>
  <c r="D14" i="24" s="1"/>
  <c r="E14" i="24" s="1"/>
  <c r="F14" i="24" s="1"/>
  <c r="C15" i="24" s="1"/>
  <c r="D15" i="24" s="1"/>
  <c r="E15" i="24" s="1"/>
  <c r="F15" i="24" s="1"/>
  <c r="C16" i="24" s="1"/>
  <c r="D16" i="24" s="1"/>
  <c r="E16" i="24" s="1"/>
  <c r="F16" i="24" s="1"/>
  <c r="C17" i="24" s="1"/>
  <c r="D17" i="24" s="1"/>
  <c r="E17" i="24" s="1"/>
  <c r="F17" i="24" s="1"/>
  <c r="B19" i="20"/>
  <c r="C19" i="20" s="1"/>
  <c r="D19" i="20" s="1"/>
  <c r="E19" i="20" s="1"/>
  <c r="F19" i="20" s="1"/>
  <c r="E10" i="21"/>
  <c r="F10" i="21" s="1"/>
  <c r="F17" i="21"/>
  <c r="F12" i="20"/>
  <c r="E25" i="3"/>
  <c r="E25" i="12" s="1"/>
  <c r="D26" i="3"/>
  <c r="D26" i="12" s="1"/>
  <c r="F8" i="3"/>
  <c r="F7" i="3"/>
  <c r="F7" i="12" s="1"/>
  <c r="C27" i="3"/>
  <c r="C27" i="12" s="1"/>
  <c r="F8" i="12" l="1"/>
  <c r="C9" i="3"/>
  <c r="C9" i="12" s="1"/>
  <c r="B23" i="24"/>
  <c r="C23" i="24" s="1"/>
  <c r="D23" i="24" s="1"/>
  <c r="E23" i="24" s="1"/>
  <c r="F23" i="24" s="1"/>
  <c r="F18" i="21"/>
  <c r="E18" i="21"/>
  <c r="C13" i="20"/>
  <c r="D13" i="20" s="1"/>
  <c r="E13" i="20" s="1"/>
  <c r="F13" i="20" s="1"/>
  <c r="C14" i="20" s="1"/>
  <c r="D14" i="20" s="1"/>
  <c r="E14" i="20" s="1"/>
  <c r="F14" i="20" s="1"/>
  <c r="E26" i="3"/>
  <c r="E26" i="12" s="1"/>
  <c r="D27" i="3"/>
  <c r="F25" i="3"/>
  <c r="F25" i="12" s="1"/>
  <c r="D9" i="3" l="1"/>
  <c r="D9" i="12" s="1"/>
  <c r="B15" i="20"/>
  <c r="B18" i="24" s="1"/>
  <c r="D27" i="12"/>
  <c r="B31" i="3"/>
  <c r="C31" i="9"/>
  <c r="D31" i="9" s="1"/>
  <c r="E31" i="9" s="1"/>
  <c r="E9" i="3"/>
  <c r="E9" i="12" s="1"/>
  <c r="E27" i="3"/>
  <c r="E27" i="12" s="1"/>
  <c r="F26" i="3"/>
  <c r="F26" i="12" s="1"/>
  <c r="B20" i="20" l="1"/>
  <c r="C20" i="20" s="1"/>
  <c r="D20" i="20" s="1"/>
  <c r="E20" i="20" s="1"/>
  <c r="F20" i="20" s="1"/>
  <c r="C15" i="20"/>
  <c r="D15" i="20" s="1"/>
  <c r="E15" i="20" s="1"/>
  <c r="C18" i="24"/>
  <c r="D18" i="24" s="1"/>
  <c r="E18" i="24" s="1"/>
  <c r="F18" i="24" s="1"/>
  <c r="C19" i="24" s="1"/>
  <c r="D19" i="24" s="1"/>
  <c r="E19" i="24" s="1"/>
  <c r="F19" i="24" s="1"/>
  <c r="C20" i="24" s="1"/>
  <c r="D20" i="24" s="1"/>
  <c r="E20" i="24" s="1"/>
  <c r="F20" i="24" s="1"/>
  <c r="C21" i="24" s="1"/>
  <c r="D21" i="24" s="1"/>
  <c r="E21" i="24" s="1"/>
  <c r="F21" i="24" s="1"/>
  <c r="B24" i="24"/>
  <c r="C24" i="24" s="1"/>
  <c r="D24" i="24" s="1"/>
  <c r="E24" i="24" s="1"/>
  <c r="F24" i="24" s="1"/>
  <c r="F31" i="9"/>
  <c r="F27" i="3"/>
  <c r="F9" i="3"/>
  <c r="F9" i="12" s="1"/>
  <c r="F27" i="12" l="1"/>
  <c r="E5" i="17"/>
  <c r="F5" i="17" s="1"/>
  <c r="E6" i="17" s="1"/>
  <c r="F6" i="17" s="1"/>
  <c r="F15" i="20"/>
  <c r="C16" i="20" s="1"/>
  <c r="D16" i="20" s="1"/>
  <c r="E16" i="20" s="1"/>
  <c r="F16" i="20" s="1"/>
  <c r="C17" i="20" s="1"/>
  <c r="D17" i="20" s="1"/>
  <c r="E17" i="20" s="1"/>
  <c r="F17" i="20" s="1"/>
  <c r="C10" i="3"/>
  <c r="C10" i="12" s="1"/>
  <c r="D10" i="3" l="1"/>
  <c r="D10" i="12" s="1"/>
  <c r="E10" i="3" l="1"/>
  <c r="E10" i="12" s="1"/>
  <c r="F10" i="3" l="1"/>
  <c r="F10" i="12" s="1"/>
  <c r="C11" i="3" l="1"/>
  <c r="C11" i="12" s="1"/>
  <c r="D11" i="3" l="1"/>
  <c r="D11" i="12" l="1"/>
  <c r="E11" i="3"/>
  <c r="E11" i="12" s="1"/>
  <c r="F11" i="3" l="1"/>
  <c r="F11" i="12" s="1"/>
  <c r="B31" i="12" l="1"/>
  <c r="C31" i="3" l="1"/>
  <c r="C31" i="12" s="1"/>
  <c r="D31" i="3" l="1"/>
  <c r="E31" i="3" s="1"/>
  <c r="D31" i="12" l="1"/>
  <c r="E31" i="12"/>
  <c r="B12" i="3"/>
  <c r="B12" i="9" s="1"/>
  <c r="B12" i="12" l="1"/>
  <c r="C12" i="3"/>
  <c r="B29" i="3"/>
  <c r="F31" i="3"/>
  <c r="F31" i="12" l="1"/>
  <c r="E5" i="7"/>
  <c r="B29" i="12"/>
  <c r="C29" i="3"/>
  <c r="B30" i="3"/>
  <c r="C12" i="12"/>
  <c r="D12" i="3"/>
  <c r="C29" i="12" l="1"/>
  <c r="D29" i="3"/>
  <c r="D12" i="12"/>
  <c r="E12" i="3"/>
  <c r="B30" i="12"/>
  <c r="C30" i="3"/>
  <c r="C30" i="12" l="1"/>
  <c r="D30" i="3"/>
  <c r="D29" i="12"/>
  <c r="E29" i="3"/>
  <c r="E12" i="12"/>
  <c r="F12" i="3"/>
  <c r="F12" i="12" l="1"/>
  <c r="C13" i="3"/>
  <c r="C13" i="12" s="1"/>
  <c r="D30" i="12"/>
  <c r="B28" i="3"/>
  <c r="E30" i="3"/>
  <c r="E29" i="12"/>
  <c r="F29" i="3"/>
  <c r="F29" i="12" s="1"/>
  <c r="D13" i="3" l="1"/>
  <c r="E30" i="12"/>
  <c r="F30" i="3"/>
  <c r="F30" i="12" s="1"/>
  <c r="C28" i="3"/>
  <c r="B28" i="12"/>
  <c r="D13" i="12"/>
  <c r="E13" i="3"/>
  <c r="C28" i="12" l="1"/>
  <c r="D28" i="3"/>
  <c r="E13" i="12"/>
  <c r="F13" i="3"/>
  <c r="D28" i="12" l="1"/>
  <c r="E28" i="3"/>
  <c r="F13" i="12"/>
  <c r="C14" i="3"/>
  <c r="C14" i="12" l="1"/>
  <c r="D14" i="3"/>
  <c r="F28" i="3"/>
  <c r="F28" i="12" s="1"/>
  <c r="E28" i="12"/>
  <c r="D14" i="12" l="1"/>
  <c r="E14" i="3"/>
  <c r="E14" i="12" l="1"/>
  <c r="F14" i="3"/>
  <c r="F14" i="12" l="1"/>
  <c r="C15" i="3"/>
  <c r="C15" i="12" l="1"/>
  <c r="D15" i="3"/>
  <c r="D15" i="12" l="1"/>
  <c r="E15" i="3"/>
  <c r="E15" i="12" l="1"/>
  <c r="F15" i="3"/>
  <c r="F15" i="12" l="1"/>
  <c r="B16" i="3"/>
  <c r="B16" i="9" s="1"/>
  <c r="C16" i="3" l="1"/>
  <c r="B16" i="12"/>
  <c r="D16" i="3" l="1"/>
  <c r="C16" i="12"/>
  <c r="D16" i="12" l="1"/>
  <c r="E16" i="3"/>
  <c r="B32" i="3"/>
  <c r="C32" i="3" l="1"/>
  <c r="B33" i="3"/>
  <c r="B32" i="12"/>
  <c r="E16" i="12"/>
  <c r="F16" i="3"/>
  <c r="F16" i="12" l="1"/>
  <c r="C17" i="3"/>
  <c r="C17" i="12" s="1"/>
  <c r="B33" i="12"/>
  <c r="C33" i="3"/>
  <c r="D32" i="3"/>
  <c r="C32" i="12"/>
  <c r="D17" i="3" l="1"/>
  <c r="E17" i="3" s="1"/>
  <c r="D17" i="12"/>
  <c r="E32" i="3"/>
  <c r="D32" i="12"/>
  <c r="C33" i="12"/>
  <c r="D33" i="3"/>
  <c r="F32" i="3" l="1"/>
  <c r="F32" i="12" s="1"/>
  <c r="E32" i="12"/>
  <c r="B34" i="3"/>
  <c r="E33" i="3"/>
  <c r="D33" i="12"/>
  <c r="E17" i="12"/>
  <c r="F17" i="3"/>
  <c r="C18" i="3" l="1"/>
  <c r="F17" i="12"/>
  <c r="E33" i="12"/>
  <c r="F33" i="3"/>
  <c r="F33" i="12" s="1"/>
  <c r="B34" i="12"/>
  <c r="C34" i="3"/>
  <c r="D34" i="3" l="1"/>
  <c r="C34" i="12"/>
  <c r="D18" i="3"/>
  <c r="C18" i="12"/>
  <c r="D18" i="12" l="1"/>
  <c r="E18" i="3"/>
  <c r="D34" i="12"/>
  <c r="E34" i="3"/>
  <c r="F18" i="3" l="1"/>
  <c r="E18" i="12"/>
  <c r="F34" i="3"/>
  <c r="F34" i="12" s="1"/>
  <c r="E34" i="12"/>
  <c r="F18" i="12" l="1"/>
  <c r="C19" i="3"/>
  <c r="D19" i="3" l="1"/>
  <c r="C19" i="12"/>
  <c r="D19" i="12" l="1"/>
  <c r="E19" i="3"/>
  <c r="F19" i="3" l="1"/>
  <c r="E19" i="12"/>
  <c r="F19" i="12" l="1"/>
  <c r="B20" i="3"/>
  <c r="B20" i="9" s="1"/>
  <c r="B20" i="12" l="1"/>
  <c r="C20" i="3"/>
  <c r="C20" i="12" l="1"/>
  <c r="D20" i="3"/>
  <c r="E20" i="3" l="1"/>
  <c r="D20" i="12"/>
  <c r="F20" i="3" l="1"/>
  <c r="E20" i="12"/>
  <c r="F20" i="12" l="1"/>
  <c r="C21" i="3"/>
  <c r="D21" i="3" s="1"/>
  <c r="C5" i="4"/>
  <c r="B6" i="4"/>
  <c r="B5" i="14"/>
  <c r="C21" i="12" l="1"/>
  <c r="C6" i="4"/>
  <c r="B6" i="14"/>
  <c r="B7" i="4"/>
  <c r="C5" i="14"/>
  <c r="D5" i="4"/>
  <c r="D21" i="12"/>
  <c r="E21" i="3"/>
  <c r="E5" i="4" l="1"/>
  <c r="D5" i="14"/>
  <c r="B7" i="14"/>
  <c r="C7" i="4"/>
  <c r="E21" i="12"/>
  <c r="F21" i="3"/>
  <c r="C6" i="14"/>
  <c r="D6" i="4"/>
  <c r="E6" i="4" l="1"/>
  <c r="D6" i="14"/>
  <c r="C7" i="14"/>
  <c r="D7" i="4"/>
  <c r="F21" i="12"/>
  <c r="C22" i="3"/>
  <c r="E5" i="14"/>
  <c r="F5" i="4"/>
  <c r="F5" i="14" s="1"/>
  <c r="D7" i="14" l="1"/>
  <c r="E7" i="4"/>
  <c r="B8" i="4"/>
  <c r="D22" i="3"/>
  <c r="C22" i="12"/>
  <c r="F6" i="4"/>
  <c r="F6" i="14" s="1"/>
  <c r="E6" i="14"/>
  <c r="B5" i="19" l="1"/>
  <c r="B5" i="11" s="1"/>
  <c r="B8" i="13"/>
  <c r="C8" i="13" s="1"/>
  <c r="D8" i="13" s="1"/>
  <c r="C8" i="4"/>
  <c r="B8" i="14"/>
  <c r="F7" i="4"/>
  <c r="F7" i="14" s="1"/>
  <c r="E7" i="14"/>
  <c r="E22" i="3"/>
  <c r="D22" i="12"/>
  <c r="C5" i="19" l="1"/>
  <c r="D5" i="19" s="1"/>
  <c r="B6" i="19" s="1"/>
  <c r="C6" i="19" s="1"/>
  <c r="D6" i="19" s="1"/>
  <c r="B7" i="19" s="1"/>
  <c r="C5" i="11"/>
  <c r="D5" i="11" s="1"/>
  <c r="B6" i="11" s="1"/>
  <c r="C6" i="11" s="1"/>
  <c r="D6" i="11" s="1"/>
  <c r="E8" i="13"/>
  <c r="B25" i="13"/>
  <c r="F22" i="3"/>
  <c r="E22" i="12"/>
  <c r="D8" i="4"/>
  <c r="C8" i="14"/>
  <c r="C8" i="17" l="1"/>
  <c r="D8" i="17" s="1"/>
  <c r="E8" i="17" s="1"/>
  <c r="F8" i="17" s="1"/>
  <c r="B7" i="11"/>
  <c r="C7" i="11" s="1"/>
  <c r="D7" i="11" s="1"/>
  <c r="E7" i="11" s="1"/>
  <c r="F7" i="11" s="1"/>
  <c r="B26" i="13"/>
  <c r="C25" i="13"/>
  <c r="D25" i="13" s="1"/>
  <c r="E25" i="13" s="1"/>
  <c r="F25" i="13" s="1"/>
  <c r="C9" i="13"/>
  <c r="D9" i="13" s="1"/>
  <c r="E9" i="13" s="1"/>
  <c r="F9" i="13" s="1"/>
  <c r="C10" i="13" s="1"/>
  <c r="D10" i="13" s="1"/>
  <c r="E10" i="13" s="1"/>
  <c r="F10" i="13" s="1"/>
  <c r="C11" i="13" s="1"/>
  <c r="D11" i="13" s="1"/>
  <c r="E11" i="13" s="1"/>
  <c r="F11" i="13" s="1"/>
  <c r="F8" i="13"/>
  <c r="B24" i="4"/>
  <c r="E8" i="4"/>
  <c r="D8" i="14"/>
  <c r="F22" i="12"/>
  <c r="C23" i="3"/>
  <c r="C7" i="19" l="1"/>
  <c r="D7" i="19" s="1"/>
  <c r="B27" i="13"/>
  <c r="C27" i="13" s="1"/>
  <c r="D27" i="13" s="1"/>
  <c r="C26" i="13"/>
  <c r="D26" i="13" s="1"/>
  <c r="E26" i="13" s="1"/>
  <c r="F26" i="13" s="1"/>
  <c r="C23" i="12"/>
  <c r="D23" i="3"/>
  <c r="C9" i="4"/>
  <c r="E8" i="14"/>
  <c r="F8" i="4"/>
  <c r="F8" i="14" s="1"/>
  <c r="B25" i="4"/>
  <c r="B24" i="14"/>
  <c r="C24" i="4"/>
  <c r="B31" i="13" l="1"/>
  <c r="E27" i="13"/>
  <c r="F27" i="13" s="1"/>
  <c r="E7" i="19"/>
  <c r="F7" i="19" s="1"/>
  <c r="D24" i="4"/>
  <c r="C24" i="14"/>
  <c r="D23" i="12"/>
  <c r="E23" i="3"/>
  <c r="B25" i="14"/>
  <c r="C25" i="4"/>
  <c r="B26" i="4"/>
  <c r="D9" i="4"/>
  <c r="C9" i="14"/>
  <c r="C8" i="19" l="1"/>
  <c r="D8" i="19" s="1"/>
  <c r="B9" i="19" s="1"/>
  <c r="C9" i="19" s="1"/>
  <c r="D9" i="19" s="1"/>
  <c r="B8" i="11"/>
  <c r="C8" i="11" s="1"/>
  <c r="D8" i="11" s="1"/>
  <c r="F8" i="19"/>
  <c r="E9" i="19" s="1"/>
  <c r="D25" i="4"/>
  <c r="C25" i="14"/>
  <c r="D9" i="14"/>
  <c r="E9" i="4"/>
  <c r="C26" i="4"/>
  <c r="B26" i="14"/>
  <c r="F23" i="3"/>
  <c r="E23" i="12"/>
  <c r="D24" i="14"/>
  <c r="E24" i="4"/>
  <c r="B9" i="11" l="1"/>
  <c r="C9" i="11" s="1"/>
  <c r="D9" i="11" s="1"/>
  <c r="E8" i="11"/>
  <c r="F8" i="11" s="1"/>
  <c r="B10" i="19"/>
  <c r="C10" i="19" s="1"/>
  <c r="D10" i="19" s="1"/>
  <c r="F9" i="19"/>
  <c r="E9" i="14"/>
  <c r="F9" i="4"/>
  <c r="F24" i="4"/>
  <c r="F24" i="14" s="1"/>
  <c r="E24" i="14"/>
  <c r="F23" i="12"/>
  <c r="D24" i="3"/>
  <c r="C26" i="14"/>
  <c r="D26" i="4"/>
  <c r="E25" i="4"/>
  <c r="D25" i="14"/>
  <c r="E9" i="11" l="1"/>
  <c r="F9" i="11" s="1"/>
  <c r="E14" i="11" s="1"/>
  <c r="F14" i="11" s="1"/>
  <c r="B10" i="11"/>
  <c r="C10" i="11" s="1"/>
  <c r="D10" i="11" s="1"/>
  <c r="E10" i="19"/>
  <c r="F10" i="19" s="1"/>
  <c r="B11" i="19"/>
  <c r="C11" i="19" s="1"/>
  <c r="D11" i="19" s="1"/>
  <c r="D26" i="14"/>
  <c r="E26" i="4"/>
  <c r="B30" i="4"/>
  <c r="D24" i="12"/>
  <c r="E24" i="3"/>
  <c r="F9" i="14"/>
  <c r="C10" i="4"/>
  <c r="E25" i="14"/>
  <c r="F25" i="4"/>
  <c r="F25" i="14" s="1"/>
  <c r="B11" i="11" l="1"/>
  <c r="C11" i="11" s="1"/>
  <c r="D11" i="11" s="1"/>
  <c r="E11" i="11" s="1"/>
  <c r="F11" i="11" s="1"/>
  <c r="E10" i="11" s="1"/>
  <c r="F10" i="11" s="1"/>
  <c r="E11" i="19"/>
  <c r="F11" i="19" s="1"/>
  <c r="B12" i="19"/>
  <c r="D10" i="4"/>
  <c r="C10" i="14"/>
  <c r="E24" i="12"/>
  <c r="F24" i="3"/>
  <c r="F24" i="12" s="1"/>
  <c r="B30" i="14"/>
  <c r="C30" i="4"/>
  <c r="F26" i="4"/>
  <c r="E26" i="14"/>
  <c r="F26" i="14" l="1"/>
  <c r="E5" i="11"/>
  <c r="F5" i="11" s="1"/>
  <c r="E6" i="11" s="1"/>
  <c r="F6" i="11" s="1"/>
  <c r="C12" i="19"/>
  <c r="D12" i="19" s="1"/>
  <c r="B13" i="19" s="1"/>
  <c r="C13" i="19" s="1"/>
  <c r="D13" i="19" s="1"/>
  <c r="B12" i="11"/>
  <c r="C12" i="11" s="1"/>
  <c r="D12" i="11" s="1"/>
  <c r="D30" i="4"/>
  <c r="E30" i="4" s="1"/>
  <c r="C30" i="14"/>
  <c r="D10" i="14"/>
  <c r="E10" i="4"/>
  <c r="E12" i="11" l="1"/>
  <c r="F12" i="11" s="1"/>
  <c r="B13" i="11"/>
  <c r="C13" i="11" s="1"/>
  <c r="D13" i="11" s="1"/>
  <c r="E13" i="11" s="1"/>
  <c r="F13" i="11" s="1"/>
  <c r="E15" i="11" s="1"/>
  <c r="F15" i="11" s="1"/>
  <c r="E10" i="14"/>
  <c r="F10" i="4"/>
  <c r="D30" i="14"/>
  <c r="B12" i="4"/>
  <c r="B12" i="13" s="1"/>
  <c r="C12" i="4" l="1"/>
  <c r="B28" i="4"/>
  <c r="B12" i="14"/>
  <c r="F10" i="14"/>
  <c r="C11" i="4"/>
  <c r="E30" i="14"/>
  <c r="F30" i="4"/>
  <c r="F30" i="14" l="1"/>
  <c r="E5" i="19"/>
  <c r="F5" i="19" s="1"/>
  <c r="E6" i="19" s="1"/>
  <c r="F6" i="19" s="1"/>
  <c r="C11" i="14"/>
  <c r="D11" i="4"/>
  <c r="B28" i="14"/>
  <c r="C28" i="4"/>
  <c r="B29" i="4"/>
  <c r="C12" i="14"/>
  <c r="D12" i="4"/>
  <c r="C29" i="4" l="1"/>
  <c r="B29" i="14"/>
  <c r="D12" i="14"/>
  <c r="E12" i="4"/>
  <c r="E11" i="4"/>
  <c r="D11" i="14"/>
  <c r="C28" i="14"/>
  <c r="D28" i="4"/>
  <c r="F11" i="4" l="1"/>
  <c r="F11" i="14" s="1"/>
  <c r="E11" i="14"/>
  <c r="D28" i="14"/>
  <c r="E28" i="4"/>
  <c r="F12" i="4"/>
  <c r="F12" i="14" s="1"/>
  <c r="C13" i="4"/>
  <c r="E12" i="14"/>
  <c r="D29" i="4"/>
  <c r="C29" i="14"/>
  <c r="E29" i="4" l="1"/>
  <c r="B27" i="4"/>
  <c r="D29" i="14"/>
  <c r="D13" i="4"/>
  <c r="C13" i="14"/>
  <c r="E28" i="14"/>
  <c r="F28" i="4"/>
  <c r="F28" i="14" s="1"/>
  <c r="D13" i="14" l="1"/>
  <c r="E13" i="4"/>
  <c r="B27" i="14"/>
  <c r="C27" i="4"/>
  <c r="E29" i="14"/>
  <c r="F29" i="4"/>
  <c r="F29" i="14" s="1"/>
  <c r="D27" i="4" l="1"/>
  <c r="C27" i="14"/>
  <c r="E13" i="14"/>
  <c r="F13" i="4"/>
  <c r="C14" i="4" l="1"/>
  <c r="F13" i="14"/>
  <c r="D27" i="14"/>
  <c r="E27" i="4"/>
  <c r="F27" i="4" l="1"/>
  <c r="F27" i="14" s="1"/>
  <c r="E27" i="14"/>
  <c r="C14" i="14"/>
  <c r="D14" i="4"/>
  <c r="D14" i="14" l="1"/>
  <c r="E14" i="4"/>
  <c r="E14" i="14" l="1"/>
  <c r="F14" i="4"/>
  <c r="F14" i="14" l="1"/>
  <c r="C15" i="4"/>
  <c r="D15" i="4" l="1"/>
  <c r="C15" i="14"/>
  <c r="D15" i="14" l="1"/>
  <c r="E15" i="4"/>
  <c r="F15" i="4" l="1"/>
  <c r="E15" i="14"/>
  <c r="F15" i="14" l="1"/>
  <c r="B16" i="4"/>
  <c r="B16" i="13" s="1"/>
  <c r="B16" i="14" l="1"/>
  <c r="C16" i="4"/>
  <c r="C16" i="14" l="1"/>
  <c r="D16" i="4"/>
  <c r="D16" i="14" l="1"/>
  <c r="B31" i="4"/>
  <c r="E16" i="4"/>
  <c r="F16" i="4" l="1"/>
  <c r="F16" i="14" s="1"/>
  <c r="C17" i="4"/>
  <c r="E16" i="14"/>
  <c r="B31" i="14"/>
  <c r="B32" i="4"/>
  <c r="C31" i="4"/>
  <c r="B32" i="14" l="1"/>
  <c r="C32" i="4"/>
  <c r="C17" i="14"/>
  <c r="D17" i="4"/>
  <c r="D31" i="4"/>
  <c r="C31" i="14"/>
  <c r="C32" i="14" l="1"/>
  <c r="D32" i="4"/>
  <c r="E31" i="4"/>
  <c r="D31" i="14"/>
  <c r="D17" i="14"/>
  <c r="E17" i="4"/>
  <c r="F17" i="4" l="1"/>
  <c r="E17" i="14"/>
  <c r="E31" i="14"/>
  <c r="F31" i="4"/>
  <c r="F31" i="14" s="1"/>
  <c r="D32" i="14"/>
  <c r="E32" i="4"/>
  <c r="B33" i="4"/>
  <c r="B33" i="14" l="1"/>
  <c r="C33" i="4"/>
  <c r="F32" i="4"/>
  <c r="F32" i="14" s="1"/>
  <c r="E32" i="14"/>
  <c r="F17" i="14"/>
  <c r="C18" i="4"/>
  <c r="D18" i="4" l="1"/>
  <c r="C18" i="14"/>
  <c r="D33" i="4"/>
  <c r="C33" i="14"/>
  <c r="D33" i="14" l="1"/>
  <c r="E33" i="4"/>
  <c r="D18" i="14"/>
  <c r="E18" i="4"/>
  <c r="F18" i="4" l="1"/>
  <c r="E18" i="14"/>
  <c r="E33" i="14"/>
  <c r="F33" i="4"/>
  <c r="F33" i="14" s="1"/>
  <c r="F18" i="14" l="1"/>
  <c r="C19" i="4"/>
  <c r="D19" i="4" l="1"/>
  <c r="C19" i="14"/>
  <c r="D19" i="14" l="1"/>
  <c r="E19" i="4"/>
  <c r="E19" i="14" l="1"/>
  <c r="F19" i="4"/>
  <c r="C12" i="9"/>
  <c r="D12" i="9" s="1"/>
  <c r="E12" i="9" s="1"/>
  <c r="B29" i="9"/>
  <c r="C29" i="9" s="1"/>
  <c r="D29" i="9" s="1"/>
  <c r="E29" i="9" s="1"/>
  <c r="F29" i="9" s="1"/>
  <c r="B20" i="4" l="1"/>
  <c r="B20" i="13" s="1"/>
  <c r="F19" i="14"/>
  <c r="F12" i="9"/>
  <c r="C13" i="9"/>
  <c r="D13" i="9" s="1"/>
  <c r="E13" i="9" s="1"/>
  <c r="F13" i="9" s="1"/>
  <c r="C14" i="9" s="1"/>
  <c r="D14" i="9" s="1"/>
  <c r="E14" i="9" s="1"/>
  <c r="F14" i="9" s="1"/>
  <c r="C15" i="9" s="1"/>
  <c r="D15" i="9" s="1"/>
  <c r="E15" i="9" s="1"/>
  <c r="F15" i="9" s="1"/>
  <c r="B30" i="9"/>
  <c r="C30" i="9" s="1"/>
  <c r="D30" i="9" s="1"/>
  <c r="B20" i="14" l="1"/>
  <c r="C20" i="4"/>
  <c r="E30" i="9"/>
  <c r="F30" i="9" s="1"/>
  <c r="B28" i="9"/>
  <c r="C28" i="9" s="1"/>
  <c r="D28" i="9" s="1"/>
  <c r="C20" i="14" l="1"/>
  <c r="D20" i="4"/>
  <c r="C16" i="9"/>
  <c r="D16" i="9" s="1"/>
  <c r="E28" i="9"/>
  <c r="F28" i="9" s="1"/>
  <c r="E20" i="4" l="1"/>
  <c r="D20" i="14"/>
  <c r="E16" i="9"/>
  <c r="B32" i="9"/>
  <c r="C21" i="4" l="1"/>
  <c r="E20" i="14"/>
  <c r="F20" i="4"/>
  <c r="F20" i="14" s="1"/>
  <c r="C32" i="9"/>
  <c r="D32" i="9" s="1"/>
  <c r="E32" i="9" s="1"/>
  <c r="F32" i="9" s="1"/>
  <c r="B33" i="9"/>
  <c r="C33" i="9" s="1"/>
  <c r="D33" i="9" s="1"/>
  <c r="C17" i="9"/>
  <c r="D17" i="9" s="1"/>
  <c r="E17" i="9" s="1"/>
  <c r="F17" i="9" s="1"/>
  <c r="C18" i="9" s="1"/>
  <c r="D18" i="9" s="1"/>
  <c r="E18" i="9" s="1"/>
  <c r="F18" i="9" s="1"/>
  <c r="C19" i="9" s="1"/>
  <c r="D19" i="9" s="1"/>
  <c r="E19" i="9" s="1"/>
  <c r="F19" i="9" s="1"/>
  <c r="F16" i="9"/>
  <c r="C21" i="14" l="1"/>
  <c r="D21" i="4"/>
  <c r="B34" i="9"/>
  <c r="C34" i="9" s="1"/>
  <c r="D34" i="9" s="1"/>
  <c r="E33" i="9"/>
  <c r="F33" i="9" s="1"/>
  <c r="D21" i="14" l="1"/>
  <c r="E21" i="4"/>
  <c r="C20" i="9"/>
  <c r="D20" i="9" s="1"/>
  <c r="E20" i="9" s="1"/>
  <c r="E34" i="9"/>
  <c r="F34" i="9" s="1"/>
  <c r="E21" i="14" l="1"/>
  <c r="F21" i="4"/>
  <c r="F20" i="9"/>
  <c r="C21" i="9"/>
  <c r="D21" i="9" s="1"/>
  <c r="E21" i="9" s="1"/>
  <c r="F21" i="9" s="1"/>
  <c r="C22" i="9" s="1"/>
  <c r="D22" i="9" s="1"/>
  <c r="E22" i="9" s="1"/>
  <c r="F22" i="9" s="1"/>
  <c r="C23" i="9" s="1"/>
  <c r="D23" i="9" s="1"/>
  <c r="E23" i="9" s="1"/>
  <c r="F23" i="9" s="1"/>
  <c r="D24" i="9" s="1"/>
  <c r="E24" i="9" s="1"/>
  <c r="F24" i="9" s="1"/>
  <c r="C31" i="13"/>
  <c r="D31" i="13" s="1"/>
  <c r="E31" i="13" s="1"/>
  <c r="C22" i="4" l="1"/>
  <c r="F21" i="14"/>
  <c r="F31" i="13"/>
  <c r="C22" i="14" l="1"/>
  <c r="D22" i="4"/>
  <c r="B29" i="13"/>
  <c r="C12" i="13"/>
  <c r="D12" i="13" s="1"/>
  <c r="E12" i="13" s="1"/>
  <c r="E22" i="4" l="1"/>
  <c r="D22" i="14"/>
  <c r="C13" i="13"/>
  <c r="D13" i="13" s="1"/>
  <c r="E13" i="13" s="1"/>
  <c r="F13" i="13" s="1"/>
  <c r="C14" i="13" s="1"/>
  <c r="D14" i="13" s="1"/>
  <c r="E14" i="13" s="1"/>
  <c r="F14" i="13" s="1"/>
  <c r="C15" i="13" s="1"/>
  <c r="D15" i="13" s="1"/>
  <c r="E15" i="13" s="1"/>
  <c r="F15" i="13" s="1"/>
  <c r="C16" i="13" s="1"/>
  <c r="D16" i="13" s="1"/>
  <c r="F12" i="13"/>
  <c r="B30" i="13"/>
  <c r="C30" i="13" s="1"/>
  <c r="D30" i="13" s="1"/>
  <c r="C29" i="13"/>
  <c r="D29" i="13" s="1"/>
  <c r="E29" i="13" s="1"/>
  <c r="F29" i="13" s="1"/>
  <c r="B32" i="13" l="1"/>
  <c r="E16" i="13"/>
  <c r="F22" i="4"/>
  <c r="E22" i="14"/>
  <c r="B28" i="13"/>
  <c r="C28" i="13" s="1"/>
  <c r="D28" i="13" s="1"/>
  <c r="E28" i="13" s="1"/>
  <c r="F28" i="13" s="1"/>
  <c r="E30" i="13"/>
  <c r="F30" i="13" s="1"/>
  <c r="C17" i="13" l="1"/>
  <c r="D17" i="13" s="1"/>
  <c r="E17" i="13" s="1"/>
  <c r="F17" i="13" s="1"/>
  <c r="C18" i="13" s="1"/>
  <c r="D18" i="13" s="1"/>
  <c r="E18" i="13" s="1"/>
  <c r="F18" i="13" s="1"/>
  <c r="C19" i="13" s="1"/>
  <c r="D19" i="13" s="1"/>
  <c r="E19" i="13" s="1"/>
  <c r="F19" i="13" s="1"/>
  <c r="C20" i="13" s="1"/>
  <c r="D20" i="13" s="1"/>
  <c r="F16" i="13"/>
  <c r="F22" i="14"/>
  <c r="C23" i="4"/>
  <c r="D23" i="4" l="1"/>
  <c r="C23" i="14"/>
  <c r="E20" i="13"/>
  <c r="F20" i="13" s="1"/>
  <c r="C21" i="13" l="1"/>
  <c r="D21" i="13" s="1"/>
  <c r="E21" i="13" s="1"/>
  <c r="F21" i="13" s="1"/>
  <c r="C22" i="13" s="1"/>
  <c r="D22" i="13" s="1"/>
  <c r="E22" i="13" s="1"/>
  <c r="F22" i="13" s="1"/>
  <c r="C23" i="13" s="1"/>
  <c r="D23" i="13" s="1"/>
  <c r="E23" i="13" s="1"/>
  <c r="F23" i="13" s="1"/>
  <c r="D24" i="13" s="1"/>
  <c r="E24" i="13" s="1"/>
  <c r="F24" i="13" s="1"/>
  <c r="D23" i="14"/>
  <c r="E23" i="4"/>
  <c r="B33" i="13"/>
  <c r="C33" i="13" s="1"/>
  <c r="D33" i="13" s="1"/>
  <c r="C32" i="13"/>
  <c r="D32" i="13" s="1"/>
  <c r="E32" i="13" s="1"/>
  <c r="F32" i="13" s="1"/>
  <c r="F23" i="4" l="1"/>
  <c r="F23" i="14" s="1"/>
  <c r="E23" i="14"/>
  <c r="E33" i="13"/>
  <c r="F33" i="13" s="1"/>
  <c r="B34" i="13"/>
  <c r="C34" i="13" s="1"/>
  <c r="D34" i="13" s="1"/>
  <c r="E34" i="13" s="1"/>
  <c r="F34" i="13" s="1"/>
  <c r="C5" i="7"/>
  <c r="D5" i="7" s="1"/>
  <c r="B6" i="7" s="1"/>
  <c r="C6" i="7" s="1"/>
  <c r="D6" i="7" s="1"/>
  <c r="B7" i="7" s="1"/>
  <c r="C7" i="7" s="1"/>
  <c r="D7" i="7" s="1"/>
  <c r="F5" i="7"/>
  <c r="E6" i="7" s="1"/>
  <c r="F6" i="7" s="1"/>
  <c r="F15" i="19"/>
  <c r="E12" i="19" s="1"/>
  <c r="F12" i="19" s="1"/>
  <c r="E13" i="19" s="1"/>
  <c r="F13" i="19" s="1"/>
  <c r="B8" i="7" l="1"/>
  <c r="C8" i="7" s="1"/>
  <c r="D8" i="7" s="1"/>
  <c r="E8" i="7" s="1"/>
  <c r="F8" i="7" s="1"/>
  <c r="E7" i="7"/>
  <c r="F7" i="7" s="1"/>
</calcChain>
</file>

<file path=xl/sharedStrings.xml><?xml version="1.0" encoding="utf-8"?>
<sst xmlns="http://schemas.openxmlformats.org/spreadsheetml/2006/main" count="1317" uniqueCount="640">
  <si>
    <t>tile</t>
    <phoneticPr fontId="1" type="noConversion"/>
  </si>
  <si>
    <t>x</t>
    <phoneticPr fontId="1" type="noConversion"/>
  </si>
  <si>
    <t>CYCLE</t>
    <phoneticPr fontId="1" type="noConversion"/>
  </si>
  <si>
    <t>y</t>
    <phoneticPr fontId="1" type="noConversion"/>
  </si>
  <si>
    <t>MODE</t>
    <phoneticPr fontId="1" type="noConversion"/>
  </si>
  <si>
    <t>mode</t>
  </si>
  <si>
    <t>pipe begin</t>
    <phoneticPr fontId="1" type="noConversion"/>
  </si>
  <si>
    <t>input begin</t>
    <phoneticPr fontId="1" type="noConversion"/>
  </si>
  <si>
    <t>input end</t>
    <phoneticPr fontId="1" type="noConversion"/>
  </si>
  <si>
    <t>output begin</t>
    <phoneticPr fontId="1" type="noConversion"/>
  </si>
  <si>
    <t>output end</t>
    <phoneticPr fontId="1" type="noConversion"/>
  </si>
  <si>
    <t>8x8 input cc</t>
    <phoneticPr fontId="1" type="noConversion"/>
  </si>
  <si>
    <t>8x8 work cc</t>
    <phoneticPr fontId="1" type="noConversion"/>
  </si>
  <si>
    <t>8x8 output cc</t>
    <phoneticPr fontId="1" type="noConversion"/>
  </si>
  <si>
    <t>tqitq out</t>
    <phoneticPr fontId="1" type="noConversion"/>
  </si>
  <si>
    <t>tqitq work</t>
    <phoneticPr fontId="1" type="noConversion"/>
  </si>
  <si>
    <t>inter pk in</t>
    <phoneticPr fontId="1" type="noConversion"/>
  </si>
  <si>
    <t>inter pk work</t>
    <phoneticPr fontId="1" type="noConversion"/>
  </si>
  <si>
    <t>inter pk out</t>
    <phoneticPr fontId="1" type="noConversion"/>
  </si>
  <si>
    <t>sel pk in</t>
    <phoneticPr fontId="1" type="noConversion"/>
  </si>
  <si>
    <t>sel pk work</t>
    <phoneticPr fontId="1" type="noConversion"/>
  </si>
  <si>
    <t>sel pk out</t>
    <phoneticPr fontId="1" type="noConversion"/>
  </si>
  <si>
    <t>dummy wait</t>
    <phoneticPr fontId="1" type="noConversion"/>
  </si>
  <si>
    <t>16x16 input cc</t>
    <phoneticPr fontId="1" type="noConversion"/>
  </si>
  <si>
    <t>16x16 work cc</t>
    <phoneticPr fontId="1" type="noConversion"/>
  </si>
  <si>
    <t>16x16 output cc</t>
    <phoneticPr fontId="1" type="noConversion"/>
  </si>
  <si>
    <t>32x32 input cc</t>
    <phoneticPr fontId="1" type="noConversion"/>
  </si>
  <si>
    <t>32x32 work cc</t>
    <phoneticPr fontId="1" type="noConversion"/>
  </si>
  <si>
    <t>32x32 output cc</t>
    <phoneticPr fontId="1" type="noConversion"/>
  </si>
  <si>
    <t>PMF_M8_0_a</t>
  </si>
  <si>
    <t xml:space="preserve">PMF_M8_0_b </t>
  </si>
  <si>
    <t xml:space="preserve">PMF_M8_0_c </t>
  </si>
  <si>
    <t xml:space="preserve">TQITQ_F8 </t>
  </si>
  <si>
    <t xml:space="preserve">INTER_PK8 </t>
  </si>
  <si>
    <t xml:space="preserve">SEL_PK8 </t>
  </si>
  <si>
    <t xml:space="preserve">PMF_M8_1_b </t>
  </si>
  <si>
    <t>PMF_M16_0_a</t>
  </si>
  <si>
    <t xml:space="preserve">TQITQ_M8 </t>
  </si>
  <si>
    <t xml:space="preserve">PMF_M8_2_c </t>
  </si>
  <si>
    <t>PMF_M8_3_a</t>
  </si>
  <si>
    <t xml:space="preserve">PMF_M8_3_b </t>
  </si>
  <si>
    <t xml:space="preserve">PMF_F8_3 </t>
  </si>
  <si>
    <t xml:space="preserve">PMF_M8_3_c </t>
  </si>
  <si>
    <t>PMF_M8_1_a</t>
    <phoneticPr fontId="1" type="noConversion"/>
  </si>
  <si>
    <t xml:space="preserve">PMF_M8_1_c </t>
    <phoneticPr fontId="1" type="noConversion"/>
  </si>
  <si>
    <t>PMF_M8_2_a</t>
    <phoneticPr fontId="1" type="noConversion"/>
  </si>
  <si>
    <t xml:space="preserve">PMF_M8_2_b </t>
    <phoneticPr fontId="1" type="noConversion"/>
  </si>
  <si>
    <t xml:space="preserve">PMF_F8_1 </t>
    <phoneticPr fontId="1" type="noConversion"/>
  </si>
  <si>
    <t xml:space="preserve">TQITQ_M8 </t>
    <phoneticPr fontId="1" type="noConversion"/>
  </si>
  <si>
    <t>PMF_F8_2</t>
    <phoneticPr fontId="1" type="noConversion"/>
  </si>
  <si>
    <t>PMF_F8_0</t>
    <phoneticPr fontId="1" type="noConversion"/>
  </si>
  <si>
    <t>PMF_F8_1</t>
    <phoneticPr fontId="1" type="noConversion"/>
  </si>
  <si>
    <t>PMF C0 Round 1-3</t>
    <phoneticPr fontId="1" type="noConversion"/>
  </si>
  <si>
    <t xml:space="preserve">PMF_F8_0 </t>
    <phoneticPr fontId="1" type="noConversion"/>
  </si>
  <si>
    <t xml:space="preserve">
</t>
  </si>
  <si>
    <t>块个数</t>
  </si>
  <si>
    <t>单块运行cycle</t>
  </si>
  <si>
    <t>流水延迟</t>
  </si>
  <si>
    <t>CB CR 块</t>
  </si>
  <si>
    <t>模式</t>
  </si>
  <si>
    <t>8x8</t>
  </si>
  <si>
    <t>64*2</t>
  </si>
  <si>
    <t>4x4</t>
  </si>
  <si>
    <t>4x8</t>
  </si>
  <si>
    <t>FME+ MMVPx1</t>
  </si>
  <si>
    <t>16x16</t>
  </si>
  <si>
    <t>16*2</t>
  </si>
  <si>
    <t>8x16</t>
  </si>
  <si>
    <t>FME+ MMVPx2</t>
  </si>
  <si>
    <t>32x32</t>
  </si>
  <si>
    <t>8*2</t>
  </si>
  <si>
    <t>16x32</t>
  </si>
  <si>
    <t>64x64</t>
  </si>
  <si>
    <t>32x64</t>
  </si>
  <si>
    <t>性能需求420：64x64</t>
  </si>
  <si>
    <t>插值性能估计</t>
  </si>
  <si>
    <t>Y</t>
  </si>
  <si>
    <t>模式个数</t>
  </si>
  <si>
    <t>总计</t>
  </si>
  <si>
    <t>y size</t>
  </si>
  <si>
    <t>小计</t>
  </si>
  <si>
    <t>16pixel</t>
  </si>
  <si>
    <t>8x8 1F1M</t>
  </si>
  <si>
    <t>8x8 1F3M</t>
  </si>
  <si>
    <t>16x16 1F2M</t>
  </si>
  <si>
    <t>16x16 2M</t>
  </si>
  <si>
    <t>32x32 1F</t>
  </si>
  <si>
    <t>16x16 1F1M</t>
  </si>
  <si>
    <t>64x64(切成4个32x32)</t>
  </si>
  <si>
    <t>8pixel</t>
  </si>
  <si>
    <t>32x32 2M</t>
  </si>
  <si>
    <t>32x32 1F3M</t>
  </si>
  <si>
    <t>64x64 1F1M(切成4个32x32)</t>
  </si>
  <si>
    <t>U(420)</t>
  </si>
  <si>
    <t>UV</t>
  </si>
  <si>
    <t>uv size</t>
  </si>
  <si>
    <t>总计 （U+V）</t>
  </si>
  <si>
    <t>16x16 1F3M</t>
  </si>
  <si>
    <t>16x16 F</t>
  </si>
  <si>
    <t>4pixel</t>
  </si>
  <si>
    <t>16x16 M</t>
  </si>
  <si>
    <t>32x32(4x32x8)</t>
  </si>
  <si>
    <t>64x64 1F3M(切成4个32x32)</t>
  </si>
  <si>
    <t>块输出到TQITQ 时间</t>
  </si>
  <si>
    <t>单块输出时间</t>
  </si>
  <si>
    <t>TQITQ输入通道</t>
  </si>
  <si>
    <t>Y 耗时</t>
  </si>
  <si>
    <t>UV 耗时</t>
  </si>
  <si>
    <t>MRG总耗时</t>
  </si>
  <si>
    <t>Intra 耗时</t>
  </si>
  <si>
    <t>TQITQ 输入耗时</t>
  </si>
  <si>
    <t>MRG &amp; intra 独立</t>
  </si>
  <si>
    <t>MRG &amp; intra 共享</t>
  </si>
  <si>
    <t>待定</t>
  </si>
  <si>
    <t>4x4 (Y8x8)</t>
    <phoneticPr fontId="1" type="noConversion"/>
  </si>
  <si>
    <t>8x8 (Y16x16)</t>
    <phoneticPr fontId="1" type="noConversion"/>
  </si>
  <si>
    <t>16x16 (Y32x32)</t>
    <phoneticPr fontId="1" type="noConversion"/>
  </si>
  <si>
    <t>32x32 (Y64x64)</t>
    <phoneticPr fontId="1" type="noConversion"/>
  </si>
  <si>
    <t>单块运行cycle(8 pixel)</t>
    <phoneticPr fontId="1" type="noConversion"/>
  </si>
  <si>
    <t>4x4 1F3M</t>
    <phoneticPr fontId="1" type="noConversion"/>
  </si>
  <si>
    <t>8x8 2M</t>
    <phoneticPr fontId="1" type="noConversion"/>
  </si>
  <si>
    <t>8x8 1F1M</t>
    <phoneticPr fontId="1" type="noConversion"/>
  </si>
  <si>
    <t>16x16 1F3M</t>
    <phoneticPr fontId="1" type="noConversion"/>
  </si>
  <si>
    <t>32x32 1F1M(切成4个32x32)</t>
    <phoneticPr fontId="1" type="noConversion"/>
  </si>
  <si>
    <t>总计 （U420）</t>
    <phoneticPr fontId="1" type="noConversion"/>
  </si>
  <si>
    <t>4x4 input cc</t>
  </si>
  <si>
    <t>4x4 work cc</t>
  </si>
  <si>
    <t>4x4 output cc</t>
  </si>
  <si>
    <t>PMF_M4_0_a</t>
  </si>
  <si>
    <t xml:space="preserve">PMF_M4_0_b </t>
  </si>
  <si>
    <t xml:space="preserve">PMF_M4_0_c </t>
  </si>
  <si>
    <t xml:space="preserve">PMF_M4_1_c </t>
  </si>
  <si>
    <t xml:space="preserve">TQITQ_M4 </t>
  </si>
  <si>
    <t xml:space="preserve">PMF_M4_2_c </t>
  </si>
  <si>
    <t xml:space="preserve">PMF_M4_3_c </t>
  </si>
  <si>
    <t>PMF_M4_1_a</t>
  </si>
  <si>
    <t xml:space="preserve">PMF_M4_1_b </t>
  </si>
  <si>
    <t>PMF_M4_2_a</t>
  </si>
  <si>
    <t xml:space="preserve">PMF_M4_2_b </t>
  </si>
  <si>
    <t>PMF_M4_3_a</t>
  </si>
  <si>
    <t xml:space="preserve">PMF_M4_3_b </t>
  </si>
  <si>
    <t>PMF_F4_0</t>
  </si>
  <si>
    <t xml:space="preserve">TQITQ_F4 </t>
  </si>
  <si>
    <t>PMF_F4_1</t>
  </si>
  <si>
    <t>PMF_F4_2</t>
  </si>
  <si>
    <t xml:space="preserve">PMF_F4_3 </t>
  </si>
  <si>
    <t xml:space="preserve">INTER_PK4 </t>
  </si>
  <si>
    <t xml:space="preserve">SEL_PK4 </t>
  </si>
  <si>
    <t>PMF_M8_0_a</t>
    <phoneticPr fontId="1" type="noConversion"/>
  </si>
  <si>
    <t>PMF UV c0 round0</t>
    <phoneticPr fontId="1" type="noConversion"/>
  </si>
  <si>
    <t>PMF c0 round0</t>
    <phoneticPr fontId="1" type="noConversion"/>
  </si>
  <si>
    <t>PMF c1 round0-3</t>
    <phoneticPr fontId="1" type="noConversion"/>
  </si>
  <si>
    <t>PMF_64M32_0</t>
    <phoneticPr fontId="1" type="noConversion"/>
  </si>
  <si>
    <t>PMF_64M32_1</t>
    <phoneticPr fontId="1" type="noConversion"/>
  </si>
  <si>
    <t>PMF_32M16_0</t>
    <phoneticPr fontId="1" type="noConversion"/>
  </si>
  <si>
    <t>PMF_32M16_1</t>
    <phoneticPr fontId="1" type="noConversion"/>
  </si>
  <si>
    <t>通道4</t>
    <phoneticPr fontId="1" type="noConversion"/>
  </si>
  <si>
    <t>通道8</t>
    <phoneticPr fontId="1" type="noConversion"/>
  </si>
  <si>
    <t>Y8x8</t>
    <phoneticPr fontId="1" type="noConversion"/>
  </si>
  <si>
    <t>通道16</t>
    <phoneticPr fontId="1" type="noConversion"/>
  </si>
  <si>
    <t>通道32</t>
    <phoneticPr fontId="1" type="noConversion"/>
  </si>
  <si>
    <t>Y32x32</t>
    <phoneticPr fontId="1" type="noConversion"/>
  </si>
  <si>
    <t>Y64x64(切成4个32x32)</t>
    <phoneticPr fontId="1" type="noConversion"/>
  </si>
  <si>
    <t>Y16x16</t>
    <phoneticPr fontId="1" type="noConversion"/>
  </si>
  <si>
    <t xml:space="preserve">UV16x16 </t>
    <phoneticPr fontId="1" type="noConversion"/>
  </si>
  <si>
    <t xml:space="preserve">UV8x8 </t>
    <phoneticPr fontId="1" type="noConversion"/>
  </si>
  <si>
    <t>uv4x4</t>
    <phoneticPr fontId="1" type="noConversion"/>
  </si>
  <si>
    <t>UV32x32（切成4个16x16)</t>
    <phoneticPr fontId="1" type="noConversion"/>
  </si>
  <si>
    <t>PMF output to TQITQ 占用时间</t>
    <phoneticPr fontId="1" type="noConversion"/>
  </si>
  <si>
    <t>块数</t>
    <phoneticPr fontId="1" type="noConversion"/>
  </si>
  <si>
    <t>输出时间</t>
    <phoneticPr fontId="1" type="noConversion"/>
  </si>
  <si>
    <t>模式个数</t>
    <phoneticPr fontId="1" type="noConversion"/>
  </si>
  <si>
    <t>时间</t>
    <phoneticPr fontId="1" type="noConversion"/>
  </si>
  <si>
    <t>总计</t>
    <phoneticPr fontId="1" type="noConversion"/>
  </si>
  <si>
    <t>y8x8(切成4个4x4)</t>
    <phoneticPr fontId="1" type="noConversion"/>
  </si>
  <si>
    <t>PMF UV c0 round1-3</t>
    <phoneticPr fontId="1" type="noConversion"/>
  </si>
  <si>
    <t>PMF_M16_0_a</t>
    <phoneticPr fontId="1" type="noConversion"/>
  </si>
  <si>
    <t>PMF_M16_0_b</t>
    <phoneticPr fontId="1" type="noConversion"/>
  </si>
  <si>
    <t>PMF_M16_3_b</t>
    <phoneticPr fontId="1" type="noConversion"/>
  </si>
  <si>
    <t>PMF_M16_2_b</t>
    <phoneticPr fontId="1" type="noConversion"/>
  </si>
  <si>
    <t>PMF_M16_1_b</t>
    <phoneticPr fontId="1" type="noConversion"/>
  </si>
  <si>
    <t>PMF_F16_0</t>
    <phoneticPr fontId="1" type="noConversion"/>
  </si>
  <si>
    <t>PMF UV c1 round1-3</t>
    <phoneticPr fontId="1" type="noConversion"/>
  </si>
  <si>
    <t>PMF UV c1 round0</t>
    <phoneticPr fontId="1" type="noConversion"/>
  </si>
  <si>
    <t>PMF_M8_0_b</t>
    <phoneticPr fontId="1" type="noConversion"/>
  </si>
  <si>
    <t>PMF_M8_1_b</t>
    <phoneticPr fontId="1" type="noConversion"/>
  </si>
  <si>
    <t>PMF_M8_2_b</t>
    <phoneticPr fontId="1" type="noConversion"/>
  </si>
  <si>
    <t>PMF_M8_3_b</t>
    <phoneticPr fontId="1" type="noConversion"/>
  </si>
  <si>
    <t>PMF c1 round1-3</t>
    <phoneticPr fontId="1" type="noConversion"/>
  </si>
  <si>
    <t>PMF_F32_0</t>
    <phoneticPr fontId="1" type="noConversion"/>
  </si>
  <si>
    <t>PMF_F16_3</t>
    <phoneticPr fontId="1" type="noConversion"/>
  </si>
  <si>
    <t>Yread latancy</t>
    <phoneticPr fontId="1" type="noConversion"/>
  </si>
  <si>
    <t>tqitq8x8 input</t>
    <phoneticPr fontId="1" type="noConversion"/>
  </si>
  <si>
    <t>UVread latancy</t>
    <phoneticPr fontId="1" type="noConversion"/>
  </si>
  <si>
    <t>tqitq4x4 input</t>
    <phoneticPr fontId="1" type="noConversion"/>
  </si>
  <si>
    <t>HEVC</t>
    <phoneticPr fontId="1" type="noConversion"/>
  </si>
  <si>
    <t>H264</t>
    <phoneticPr fontId="1" type="noConversion"/>
  </si>
  <si>
    <t>PMF_M4_0_a</t>
    <phoneticPr fontId="1" type="noConversion"/>
  </si>
  <si>
    <t>PMF_M8</t>
    <phoneticPr fontId="1" type="noConversion"/>
  </si>
  <si>
    <t>PMF_F8</t>
    <phoneticPr fontId="1" type="noConversion"/>
  </si>
  <si>
    <t>264PMF c0 round0</t>
    <phoneticPr fontId="1" type="noConversion"/>
  </si>
  <si>
    <t>tqitq16x16 input</t>
    <phoneticPr fontId="1" type="noConversion"/>
  </si>
  <si>
    <t>INTER_PK8</t>
  </si>
  <si>
    <t>PMF_16F8_0</t>
    <phoneticPr fontId="1" type="noConversion"/>
  </si>
  <si>
    <t>PMF_16F8_1</t>
  </si>
  <si>
    <t>PMF_16F8_2</t>
  </si>
  <si>
    <t>PMF_16F8_3</t>
  </si>
  <si>
    <t>PMF_16M8_0</t>
    <phoneticPr fontId="1" type="noConversion"/>
  </si>
  <si>
    <t>PMF_16M8_1</t>
  </si>
  <si>
    <t>PMF_16M8_2</t>
  </si>
  <si>
    <t>PMF_16M8_3</t>
  </si>
  <si>
    <t>264PMF c1 round0</t>
    <phoneticPr fontId="1" type="noConversion"/>
  </si>
  <si>
    <t>PMF_8M4_0</t>
  </si>
  <si>
    <t>PMF_8F4_0</t>
  </si>
  <si>
    <t>PMF_8M4_1</t>
  </si>
  <si>
    <t>PMF_8M4_2</t>
  </si>
  <si>
    <t>PMF_8M4_3</t>
  </si>
  <si>
    <t>PMF_8F4_1</t>
  </si>
  <si>
    <t>PMF_8F4_2</t>
  </si>
  <si>
    <t>PMF_8F4_3</t>
  </si>
  <si>
    <t>PMF_16M4_0</t>
    <phoneticPr fontId="1" type="noConversion"/>
  </si>
  <si>
    <t>PMF_16M4_1</t>
  </si>
  <si>
    <t>PMF_16M4_2</t>
  </si>
  <si>
    <t>PMF_16M4_3</t>
  </si>
  <si>
    <t>PMF_16F4_0</t>
    <phoneticPr fontId="1" type="noConversion"/>
  </si>
  <si>
    <t>PMF_16F4_1</t>
  </si>
  <si>
    <t>PMF_16F4_2</t>
  </si>
  <si>
    <t>PMF_16F4_3</t>
  </si>
  <si>
    <t>264PMF UV c0 round0</t>
    <phoneticPr fontId="1" type="noConversion"/>
  </si>
  <si>
    <t>chroma</t>
    <phoneticPr fontId="1" type="noConversion"/>
  </si>
  <si>
    <t>PMF_M4_0</t>
    <phoneticPr fontId="1" type="noConversion"/>
  </si>
  <si>
    <t>PMF_F4_0</t>
    <phoneticPr fontId="1" type="noConversion"/>
  </si>
  <si>
    <t>INTER_PK4</t>
    <phoneticPr fontId="1" type="noConversion"/>
  </si>
  <si>
    <t>264PMF UV c1 round0</t>
    <phoneticPr fontId="1" type="noConversion"/>
  </si>
  <si>
    <t>PMF_M4_1</t>
  </si>
  <si>
    <t>TQITQ_M4</t>
  </si>
  <si>
    <t>PMF_M4_2</t>
  </si>
  <si>
    <t>PMF_M4_3</t>
  </si>
  <si>
    <t>TQITQ_F4</t>
  </si>
  <si>
    <t>PMF_F4_3</t>
  </si>
  <si>
    <t>pixel 读取接口</t>
    <phoneticPr fontId="1" type="noConversion"/>
  </si>
  <si>
    <t>y c0</t>
    <phoneticPr fontId="1" type="noConversion"/>
  </si>
  <si>
    <t>pixel 需求个数</t>
    <phoneticPr fontId="1" type="noConversion"/>
  </si>
  <si>
    <t>pixel 读取个数</t>
    <phoneticPr fontId="1" type="noConversion"/>
  </si>
  <si>
    <t>2x15</t>
    <phoneticPr fontId="1" type="noConversion"/>
  </si>
  <si>
    <t>y c0  16*1</t>
    <phoneticPr fontId="1" type="noConversion"/>
  </si>
  <si>
    <t>y c0  8*2</t>
    <phoneticPr fontId="1" type="noConversion"/>
  </si>
  <si>
    <t>2x32</t>
    <phoneticPr fontId="1" type="noConversion"/>
  </si>
  <si>
    <t>ram 颗粒度(pixel)</t>
    <phoneticPr fontId="1" type="noConversion"/>
  </si>
  <si>
    <t>y c1  16*1</t>
    <phoneticPr fontId="1" type="noConversion"/>
  </si>
  <si>
    <t>uv c0  8*1</t>
    <phoneticPr fontId="1" type="noConversion"/>
  </si>
  <si>
    <t>uv c0  4*2</t>
    <phoneticPr fontId="1" type="noConversion"/>
  </si>
  <si>
    <t>uv c1  8*1</t>
    <phoneticPr fontId="1" type="noConversion"/>
  </si>
  <si>
    <t>2x16</t>
    <phoneticPr fontId="1" type="noConversion"/>
  </si>
  <si>
    <t>2x7</t>
    <phoneticPr fontId="1" type="noConversion"/>
  </si>
  <si>
    <t xml:space="preserve">总结： Y 需要 4片 16x1 ram; UV 需要4片 8x1 ram; </t>
    <phoneticPr fontId="1" type="noConversion"/>
  </si>
  <si>
    <t>PMF_M16</t>
    <phoneticPr fontId="1" type="noConversion"/>
  </si>
  <si>
    <t>PMF_F16</t>
    <phoneticPr fontId="1" type="noConversion"/>
  </si>
  <si>
    <t>Y</t>
    <phoneticPr fontId="1" type="noConversion"/>
  </si>
  <si>
    <t>总需求pixel</t>
    <phoneticPr fontId="1" type="noConversion"/>
  </si>
  <si>
    <t>bit</t>
    <phoneticPr fontId="1" type="noConversion"/>
  </si>
  <si>
    <t xml:space="preserve">ram 片 </t>
    <phoneticPr fontId="1" type="noConversion"/>
  </si>
  <si>
    <t>ram深度</t>
    <phoneticPr fontId="1" type="noConversion"/>
  </si>
  <si>
    <t>UV</t>
    <phoneticPr fontId="1" type="noConversion"/>
  </si>
  <si>
    <t>chanel</t>
    <phoneticPr fontId="1" type="noConversion"/>
  </si>
  <si>
    <t>ram 宽度（pixel)</t>
    <phoneticPr fontId="1" type="noConversion"/>
  </si>
  <si>
    <t>ram 宽度 (pixel)</t>
    <phoneticPr fontId="1" type="noConversion"/>
  </si>
  <si>
    <t>深度</t>
    <phoneticPr fontId="1" type="noConversion"/>
  </si>
  <si>
    <t>y c1</t>
    <phoneticPr fontId="1" type="noConversion"/>
  </si>
  <si>
    <t>uv c0</t>
    <phoneticPr fontId="1" type="noConversion"/>
  </si>
  <si>
    <t>uv c1</t>
    <phoneticPr fontId="1" type="noConversion"/>
  </si>
  <si>
    <t>输出缓存 （单口，独享）</t>
    <phoneticPr fontId="1" type="noConversion"/>
  </si>
  <si>
    <t>基本用满</t>
    <phoneticPr fontId="1" type="noConversion"/>
  </si>
  <si>
    <t>输入REF PIXEL RAM (单口，独享，每拍输入）</t>
    <phoneticPr fontId="1" type="noConversion"/>
  </si>
  <si>
    <t>8x8</t>
    <phoneticPr fontId="1" type="noConversion"/>
  </si>
  <si>
    <t>16x16</t>
    <phoneticPr fontId="1" type="noConversion"/>
  </si>
  <si>
    <t>4x4</t>
    <phoneticPr fontId="1" type="noConversion"/>
  </si>
  <si>
    <t>8x2  -0</t>
    <phoneticPr fontId="1" type="noConversion"/>
  </si>
  <si>
    <t>4x4  -0</t>
    <phoneticPr fontId="1" type="noConversion"/>
  </si>
  <si>
    <t>Y</t>
    <phoneticPr fontId="1" type="noConversion"/>
  </si>
  <si>
    <t>32x32</t>
    <phoneticPr fontId="1" type="noConversion"/>
  </si>
  <si>
    <t>16x1 -0</t>
    <phoneticPr fontId="1" type="noConversion"/>
  </si>
  <si>
    <t>16x1 -32</t>
    <phoneticPr fontId="1" type="noConversion"/>
  </si>
  <si>
    <t>UV</t>
    <phoneticPr fontId="1" type="noConversion"/>
  </si>
  <si>
    <t>H265</t>
    <phoneticPr fontId="1" type="noConversion"/>
  </si>
  <si>
    <t>8x1 -0</t>
    <phoneticPr fontId="1" type="noConversion"/>
  </si>
  <si>
    <t>8x1 -16</t>
    <phoneticPr fontId="1" type="noConversion"/>
  </si>
  <si>
    <t>4x4 channel</t>
    <phoneticPr fontId="1" type="noConversion"/>
  </si>
  <si>
    <t>H264</t>
    <phoneticPr fontId="1" type="noConversion"/>
  </si>
  <si>
    <t>凑4笔输出 4x4 channel</t>
    <phoneticPr fontId="1" type="noConversion"/>
  </si>
  <si>
    <t>U 8x1 -0</t>
    <phoneticPr fontId="1" type="noConversion"/>
  </si>
  <si>
    <t>V 8x1 -0</t>
    <phoneticPr fontId="1" type="noConversion"/>
  </si>
  <si>
    <t>8x8 channel</t>
    <phoneticPr fontId="1" type="noConversion"/>
  </si>
  <si>
    <t>重组输出顺序</t>
    <phoneticPr fontId="1" type="noConversion"/>
  </si>
  <si>
    <t xml:space="preserve">64x64 </t>
    <phoneticPr fontId="1" type="noConversion"/>
  </si>
  <si>
    <t>以4个独立的 32x32 计算</t>
    <phoneticPr fontId="1" type="noConversion"/>
  </si>
  <si>
    <t xml:space="preserve">32x32 </t>
    <phoneticPr fontId="1" type="noConversion"/>
  </si>
  <si>
    <t>以4个独立的16x16 计算</t>
    <phoneticPr fontId="1" type="noConversion"/>
  </si>
  <si>
    <t>16x1 -1</t>
    <phoneticPr fontId="1" type="noConversion"/>
  </si>
  <si>
    <t>PMF_M32_0_a</t>
    <phoneticPr fontId="1" type="noConversion"/>
  </si>
  <si>
    <t>PMF_M32_0_b</t>
    <phoneticPr fontId="1" type="noConversion"/>
  </si>
  <si>
    <t>片数</t>
    <phoneticPr fontId="1" type="noConversion"/>
  </si>
  <si>
    <t>套</t>
    <phoneticPr fontId="1" type="noConversion"/>
  </si>
  <si>
    <t>Bit</t>
    <phoneticPr fontId="1" type="noConversion"/>
  </si>
  <si>
    <t>接口</t>
    <phoneticPr fontId="1" type="noConversion"/>
  </si>
  <si>
    <t>name</t>
    <phoneticPr fontId="1" type="noConversion"/>
  </si>
  <si>
    <t>类型</t>
    <phoneticPr fontId="1" type="noConversion"/>
  </si>
  <si>
    <t>width</t>
    <phoneticPr fontId="1" type="noConversion"/>
  </si>
  <si>
    <t>note</t>
    <phoneticPr fontId="1" type="noConversion"/>
  </si>
  <si>
    <t>normal</t>
    <phoneticPr fontId="1" type="noConversion"/>
  </si>
  <si>
    <t>clk</t>
    <phoneticPr fontId="1" type="noConversion"/>
  </si>
  <si>
    <t>aresetn</t>
    <phoneticPr fontId="1" type="noConversion"/>
  </si>
  <si>
    <t>vctrl2pmf_ctu_start</t>
  </si>
  <si>
    <t>pmf2vctrl_ctu_end</t>
  </si>
  <si>
    <t>direction</t>
    <phoneticPr fontId="1" type="noConversion"/>
  </si>
  <si>
    <t>in</t>
    <phoneticPr fontId="1" type="noConversion"/>
  </si>
  <si>
    <t>out</t>
    <phoneticPr fontId="1" type="noConversion"/>
  </si>
  <si>
    <t>vctrl2pmf_info</t>
  </si>
  <si>
    <t>vctrl2pmf_info</t>
    <phoneticPr fontId="1" type="noConversion"/>
  </si>
  <si>
    <t>codec</t>
    <phoneticPr fontId="1" type="noConversion"/>
  </si>
  <si>
    <t>0=264; 1=265; 2=266;</t>
    <phoneticPr fontId="1" type="noConversion"/>
  </si>
  <si>
    <t>csamp</t>
    <phoneticPr fontId="1" type="noConversion"/>
  </si>
  <si>
    <t>0/1/2/3 = 400/420/422/.440</t>
    <phoneticPr fontId="1" type="noConversion"/>
  </si>
  <si>
    <t>start must wait for end=1;</t>
    <phoneticPr fontId="1" type="noConversion"/>
  </si>
  <si>
    <t>pred_mode</t>
    <phoneticPr fontId="1" type="noConversion"/>
  </si>
  <si>
    <t>0=P; 1=B;</t>
    <phoneticPr fontId="1" type="noConversion"/>
  </si>
  <si>
    <t>bit_depth</t>
    <phoneticPr fontId="1" type="noConversion"/>
  </si>
  <si>
    <t>0=8bit; 1=10bit;</t>
    <phoneticPr fontId="1" type="noConversion"/>
  </si>
  <si>
    <t>vctrl</t>
    <phoneticPr fontId="1" type="noConversion"/>
  </si>
  <si>
    <t>mvp</t>
    <phoneticPr fontId="1" type="noConversion"/>
  </si>
  <si>
    <t>l1_predflag</t>
    <phoneticPr fontId="1" type="noConversion"/>
  </si>
  <si>
    <t>l0_predflag</t>
    <phoneticPr fontId="1" type="noConversion"/>
  </si>
  <si>
    <t>l1_mvy</t>
    <phoneticPr fontId="1" type="noConversion"/>
  </si>
  <si>
    <t>l1_mvx</t>
    <phoneticPr fontId="1" type="noConversion"/>
  </si>
  <si>
    <t>l0_mvy</t>
    <phoneticPr fontId="1" type="noConversion"/>
  </si>
  <si>
    <t>l0_mvx</t>
    <phoneticPr fontId="1" type="noConversion"/>
  </si>
  <si>
    <t>l1_refidx</t>
    <phoneticPr fontId="1" type="noConversion"/>
  </si>
  <si>
    <t>l0_refidx</t>
    <phoneticPr fontId="1" type="noConversion"/>
  </si>
  <si>
    <t>输出SRC ram 配置</t>
    <phoneticPr fontId="1" type="noConversion"/>
  </si>
  <si>
    <t>方案：对于 32x32， 使用 64x64的SRC ram 即可，和intra 共用。 对于 16x16 和 8x8 和4x4， 使用 16x16 reg 阵列 （因为 src ram 没法同时支持core0 和 core 1），每个16x16 使用完毕后进行reload(高优先级）</t>
    <phoneticPr fontId="1" type="noConversion"/>
  </si>
  <si>
    <t>ram name</t>
    <phoneticPr fontId="1" type="noConversion"/>
  </si>
  <si>
    <t>SRC_RAM</t>
    <phoneticPr fontId="1" type="noConversion"/>
  </si>
  <si>
    <t>深度</t>
    <phoneticPr fontId="1" type="noConversion"/>
  </si>
  <si>
    <t>片数</t>
    <phoneticPr fontId="1" type="noConversion"/>
  </si>
  <si>
    <t>SRC_RAM_Y</t>
    <phoneticPr fontId="1" type="noConversion"/>
  </si>
  <si>
    <t>宽度(pixel)</t>
    <phoneticPr fontId="1" type="noConversion"/>
  </si>
  <si>
    <t>存储整个64x64</t>
    <phoneticPr fontId="1" type="noConversion"/>
  </si>
  <si>
    <t>SRC_RAM_UV</t>
    <phoneticPr fontId="1" type="noConversion"/>
  </si>
  <si>
    <t>REG_Y</t>
    <phoneticPr fontId="1" type="noConversion"/>
  </si>
  <si>
    <t>存储整个16x16</t>
    <phoneticPr fontId="1" type="noConversion"/>
  </si>
  <si>
    <t>REG_UV</t>
    <phoneticPr fontId="1" type="noConversion"/>
  </si>
  <si>
    <t>存储整个32x32x2</t>
    <phoneticPr fontId="1" type="noConversion"/>
  </si>
  <si>
    <t>存储整个8x8x2</t>
    <phoneticPr fontId="1" type="noConversion"/>
  </si>
  <si>
    <t>sdw_req_x</t>
    <phoneticPr fontId="1" type="noConversion"/>
  </si>
  <si>
    <t>sdw_req_y</t>
    <phoneticPr fontId="1" type="noConversion"/>
  </si>
  <si>
    <t>搜索窗起始点</t>
    <phoneticPr fontId="1" type="noConversion"/>
  </si>
  <si>
    <t>pmf2mvp_pk_valid</t>
    <phoneticPr fontId="1" type="noConversion"/>
  </si>
  <si>
    <t>pmf2mvp_pk</t>
    <phoneticPr fontId="1" type="noConversion"/>
  </si>
  <si>
    <t>H264 only, 反馈inter 8x8 pk 结果。</t>
    <phoneticPr fontId="1" type="noConversion"/>
  </si>
  <si>
    <t>FME</t>
    <phoneticPr fontId="1" type="noConversion"/>
  </si>
  <si>
    <t>SEL</t>
    <phoneticPr fontId="1" type="noConversion"/>
  </si>
  <si>
    <t>pmf2sel_pk_valid</t>
    <phoneticPr fontId="1" type="noConversion"/>
  </si>
  <si>
    <t>pmf2sel_pk</t>
    <phoneticPr fontId="1" type="noConversion"/>
  </si>
  <si>
    <t>blk_mode</t>
    <phoneticPr fontId="1" type="noConversion"/>
  </si>
  <si>
    <t>l1_mvdy</t>
    <phoneticPr fontId="1" type="noConversion"/>
  </si>
  <si>
    <t>l1_mvdx</t>
    <phoneticPr fontId="1" type="noConversion"/>
  </si>
  <si>
    <t>l0_mvdy</t>
    <phoneticPr fontId="1" type="noConversion"/>
  </si>
  <si>
    <t>l0_mvdx</t>
    <phoneticPr fontId="1" type="noConversion"/>
  </si>
  <si>
    <t>TQITQ</t>
    <phoneticPr fontId="1" type="noConversion"/>
  </si>
  <si>
    <t>fme2pmf_fmv_valid</t>
    <phoneticPr fontId="1" type="noConversion"/>
  </si>
  <si>
    <t>fme2pmf_fmv</t>
  </si>
  <si>
    <t>REF_RAM</t>
    <phoneticPr fontId="1" type="noConversion"/>
  </si>
  <si>
    <t>ref_pixel_y_csn</t>
    <phoneticPr fontId="1" type="noConversion"/>
  </si>
  <si>
    <t>ref_pixel_y_wen</t>
    <phoneticPr fontId="1" type="noConversion"/>
  </si>
  <si>
    <t>ref_pixel_y_addr</t>
    <phoneticPr fontId="1" type="noConversion"/>
  </si>
  <si>
    <t>ref_pixel_y_wdata</t>
    <phoneticPr fontId="1" type="noConversion"/>
  </si>
  <si>
    <t>ref_pixel_y_rdata</t>
    <phoneticPr fontId="1" type="noConversion"/>
  </si>
  <si>
    <t>ref_pixel_uv_csn</t>
    <phoneticPr fontId="1" type="noConversion"/>
  </si>
  <si>
    <t>ref_pixel_uv_wen</t>
    <phoneticPr fontId="1" type="noConversion"/>
  </si>
  <si>
    <t>ref_pixel_uv_addr</t>
    <phoneticPr fontId="1" type="noConversion"/>
  </si>
  <si>
    <t>ref_pixel_uv_wdata</t>
    <phoneticPr fontId="1" type="noConversion"/>
  </si>
  <si>
    <t>ref_pixel_uv_rdata</t>
    <phoneticPr fontId="1" type="noConversion"/>
  </si>
  <si>
    <t>[7:0]</t>
  </si>
  <si>
    <t>[15:0][9:0]</t>
  </si>
  <si>
    <t>[7:0][9:0]</t>
  </si>
  <si>
    <t>src_pixel_y_csn</t>
  </si>
  <si>
    <t>src_pixel_y_wen</t>
  </si>
  <si>
    <t>src_pixel_y_addr</t>
  </si>
  <si>
    <t>src_pixel_y_wdata</t>
  </si>
  <si>
    <t>src_pixel_y_rdata</t>
  </si>
  <si>
    <t>src_pixel_uv_csn</t>
  </si>
  <si>
    <t>src_pixel_uv_wen</t>
  </si>
  <si>
    <t>src_pixel_uv_addr</t>
  </si>
  <si>
    <t>src_pixel_uv_wdata</t>
  </si>
  <si>
    <t>src_pixel_uv_rdata</t>
  </si>
  <si>
    <t>BUF_RAM</t>
    <phoneticPr fontId="1" type="noConversion"/>
  </si>
  <si>
    <t>待定</t>
    <phoneticPr fontId="1" type="noConversion"/>
  </si>
  <si>
    <t>vctrl2pmf_info_t</t>
    <phoneticPr fontId="1" type="noConversion"/>
  </si>
  <si>
    <t>in</t>
    <phoneticPr fontId="1" type="noConversion"/>
  </si>
  <si>
    <t>0,1,2,3-》 8/16/32/64</t>
    <phoneticPr fontId="1" type="noConversion"/>
  </si>
  <si>
    <t>pmf2sel_pk</t>
    <phoneticPr fontId="1" type="noConversion"/>
  </si>
  <si>
    <t>out</t>
    <phoneticPr fontId="1" type="noConversion"/>
  </si>
  <si>
    <t>blk_idx</t>
    <phoneticPr fontId="1" type="noConversion"/>
  </si>
  <si>
    <t>pmf2sel_pred_valid</t>
    <phoneticPr fontId="1" type="noConversion"/>
  </si>
  <si>
    <t>pmf2sel_pred_ready</t>
    <phoneticPr fontId="1" type="noConversion"/>
  </si>
  <si>
    <t>pmf2tqitq_res_valid</t>
  </si>
  <si>
    <t>pmf2tqitq_res_ready</t>
  </si>
  <si>
    <t>pmf2fme_fmv_ready</t>
    <phoneticPr fontId="1" type="noConversion"/>
  </si>
  <si>
    <t>4x fme2pmf_fmv</t>
    <phoneticPr fontId="1" type="noConversion"/>
  </si>
  <si>
    <t>pmf2sel_pred_t</t>
    <phoneticPr fontId="1" type="noConversion"/>
  </si>
  <si>
    <t>0/1/2/3 = FME/M0/M1/M2</t>
    <phoneticPr fontId="1" type="noConversion"/>
  </si>
  <si>
    <t>merge_idx</t>
    <phoneticPr fontId="1" type="noConversion"/>
  </si>
  <si>
    <t>tqitq2pmf_bd_valid</t>
    <phoneticPr fontId="1" type="noConversion"/>
  </si>
  <si>
    <t>tqitq2pmf_bd</t>
    <phoneticPr fontId="1" type="noConversion"/>
  </si>
  <si>
    <t>pmf2tqitq_res_t</t>
    <phoneticPr fontId="1" type="noConversion"/>
  </si>
  <si>
    <t>tqitq2pmf_bd_t</t>
    <phoneticPr fontId="1" type="noConversion"/>
  </si>
  <si>
    <t>inf_blk_x</t>
  </si>
  <si>
    <t>inf_blk_y</t>
  </si>
  <si>
    <t>bits_data</t>
  </si>
  <si>
    <t>T_RDO_RESBITS</t>
  </si>
  <si>
    <t>bits_ncoeffs</t>
  </si>
  <si>
    <t>T_RDO_NCOEFFS</t>
  </si>
  <si>
    <t>dist_data</t>
  </si>
  <si>
    <t>zdist_data</t>
  </si>
  <si>
    <t>T_RDO_DIST</t>
    <phoneticPr fontId="1" type="noConversion"/>
  </si>
  <si>
    <t>bits_blk_x</t>
  </si>
  <si>
    <t>bits_blk_y</t>
  </si>
  <si>
    <t>bits_pu_size</t>
  </si>
  <si>
    <t>bits_rdo_type</t>
  </si>
  <si>
    <t>bits_comp</t>
  </si>
  <si>
    <t>bits_transform_skip</t>
  </si>
  <si>
    <t>fme2pmf_fmv_t</t>
    <phoneticPr fontId="1" type="noConversion"/>
  </si>
  <si>
    <t>cand_idx</t>
    <phoneticPr fontId="1" type="noConversion"/>
  </si>
  <si>
    <t>0/1/2/3/4-》 4/4/8/16/32</t>
    <phoneticPr fontId="1" type="noConversion"/>
  </si>
  <si>
    <t>5x pmf2tqitq_res_t</t>
    <phoneticPr fontId="1" type="noConversion"/>
  </si>
  <si>
    <t>5x tqitq2pmf_bd</t>
    <phoneticPr fontId="1" type="noConversion"/>
  </si>
  <si>
    <t>5x pmf2sel_pred_t</t>
    <phoneticPr fontId="1" type="noConversion"/>
  </si>
  <si>
    <t>pmf2mvp_mmvp_ack</t>
    <phoneticPr fontId="1" type="noConversion"/>
  </si>
  <si>
    <t>1x pmf2sel_pk_t</t>
    <phoneticPr fontId="1" type="noConversion"/>
  </si>
  <si>
    <t>mvp2pmf_mmvp_ack_info</t>
    <phoneticPr fontId="1" type="noConversion"/>
  </si>
  <si>
    <t>mvp2pmf_amvp_ack</t>
    <phoneticPr fontId="1" type="noConversion"/>
  </si>
  <si>
    <t>pmf2mvp_req</t>
    <phoneticPr fontId="1" type="noConversion"/>
  </si>
  <si>
    <t>pmf2mvp_mmvp_req</t>
    <phoneticPr fontId="1" type="noConversion"/>
  </si>
  <si>
    <t>pmf2mvp_mmvp_req_info</t>
    <phoneticPr fontId="1" type="noConversion"/>
  </si>
  <si>
    <t>pmf2mvp_amvp_req</t>
    <phoneticPr fontId="1" type="noConversion"/>
  </si>
  <si>
    <t>pmf2mvp_amvp_req_info</t>
    <phoneticPr fontId="1" type="noConversion"/>
  </si>
  <si>
    <t>pmf2mvp_req_t</t>
    <phoneticPr fontId="1" type="noConversion"/>
  </si>
  <si>
    <t>mvp2pmf_amvp_ack_info</t>
    <phoneticPr fontId="1" type="noConversion"/>
  </si>
  <si>
    <t>mvp2pmf_ack</t>
    <phoneticPr fontId="1" type="noConversion"/>
  </si>
  <si>
    <t>blk_size</t>
    <phoneticPr fontId="1" type="noConversion"/>
  </si>
  <si>
    <t>8/16/32/64</t>
    <phoneticPr fontId="1" type="noConversion"/>
  </si>
  <si>
    <t>z-scan</t>
    <phoneticPr fontId="1" type="noConversion"/>
  </si>
  <si>
    <t>TQITQ_F4</t>
    <phoneticPr fontId="1" type="noConversion"/>
  </si>
  <si>
    <t>TQITQ_M4</t>
    <phoneticPr fontId="1" type="noConversion"/>
  </si>
  <si>
    <t>0：反馈 N-2 的两个cand; 1 ： 反馈N-1 的一个</t>
    <phoneticPr fontId="1" type="noConversion"/>
  </si>
  <si>
    <t>2x mvp2pmf_ack</t>
    <phoneticPr fontId="1" type="noConversion"/>
  </si>
  <si>
    <t>pmf2mvp_pk_t</t>
    <phoneticPr fontId="1" type="noConversion"/>
  </si>
  <si>
    <t>blk_x</t>
    <phoneticPr fontId="1" type="noConversion"/>
  </si>
  <si>
    <t>blk_y</t>
    <phoneticPr fontId="1" type="noConversion"/>
  </si>
  <si>
    <t>comp</t>
    <phoneticPr fontId="1" type="noConversion"/>
  </si>
  <si>
    <t>Y/U/V</t>
    <phoneticPr fontId="1" type="noConversion"/>
  </si>
  <si>
    <t>inf_qp</t>
    <phoneticPr fontId="1" type="noConversion"/>
  </si>
  <si>
    <t>inf_scan</t>
    <phoneticPr fontId="1" type="noConversion"/>
  </si>
  <si>
    <t>inf_blk_x</t>
    <phoneticPr fontId="1" type="noConversion"/>
  </si>
  <si>
    <t>inf_blk_y</t>
    <phoneticPr fontId="1" type="noConversion"/>
  </si>
  <si>
    <t>inf_pu_size</t>
    <phoneticPr fontId="1" type="noConversion"/>
  </si>
  <si>
    <t>inf_rdo_type</t>
    <phoneticPr fontId="1" type="noConversion"/>
  </si>
  <si>
    <t>inf_comp</t>
    <phoneticPr fontId="1" type="noConversion"/>
  </si>
  <si>
    <t>inf_transform_skip</t>
    <phoneticPr fontId="1" type="noConversion"/>
  </si>
  <si>
    <t>size</t>
    <phoneticPr fontId="1" type="noConversion"/>
  </si>
  <si>
    <t>transform_skip</t>
    <phoneticPr fontId="1" type="noConversion"/>
  </si>
  <si>
    <t>blk_mode</t>
    <phoneticPr fontId="1" type="noConversion"/>
  </si>
  <si>
    <t>tu_mode</t>
    <phoneticPr fontId="1" type="noConversion"/>
  </si>
  <si>
    <t>for H265 8x8 ：0=4x4；1 = 8x8;  for H264  16x16: 0=4x4；1 = 8x8;</t>
    <phoneticPr fontId="1" type="noConversion"/>
  </si>
  <si>
    <t>0/1/2/3/4-》 4/8/16/32/64(blk size)</t>
    <phoneticPr fontId="1" type="noConversion"/>
  </si>
  <si>
    <t>cost</t>
    <phoneticPr fontId="1" type="noConversion"/>
  </si>
  <si>
    <t>COST_WIDTH</t>
    <phoneticPr fontId="1" type="noConversion"/>
  </si>
  <si>
    <t>inf_blk_mode</t>
    <phoneticPr fontId="1" type="noConversion"/>
  </si>
  <si>
    <t>4x4 U</t>
    <phoneticPr fontId="1" type="noConversion"/>
  </si>
  <si>
    <t>4x4 V</t>
    <phoneticPr fontId="1" type="noConversion"/>
  </si>
  <si>
    <t>原始插值顺序</t>
    <phoneticPr fontId="1" type="noConversion"/>
  </si>
  <si>
    <t>depend</t>
    <phoneticPr fontId="1" type="noConversion"/>
  </si>
  <si>
    <t>merge</t>
    <phoneticPr fontId="1" type="noConversion"/>
  </si>
  <si>
    <t>0:  amvp ; 1:merge</t>
    <phoneticPr fontId="1" type="noConversion"/>
  </si>
  <si>
    <t>codec</t>
    <phoneticPr fontId="1" type="noConversion"/>
  </si>
  <si>
    <t>color</t>
    <phoneticPr fontId="1" type="noConversion"/>
  </si>
  <si>
    <t>cu_size</t>
    <phoneticPr fontId="1" type="noConversion"/>
  </si>
  <si>
    <t>tu_size</t>
    <phoneticPr fontId="1" type="noConversion"/>
  </si>
  <si>
    <t>RDO</t>
    <phoneticPr fontId="1" type="noConversion"/>
  </si>
  <si>
    <t>64x64</t>
    <phoneticPr fontId="1" type="noConversion"/>
  </si>
  <si>
    <t>mode</t>
    <phoneticPr fontId="1" type="noConversion"/>
  </si>
  <si>
    <t>M0</t>
    <phoneticPr fontId="1" type="noConversion"/>
  </si>
  <si>
    <t>M1</t>
    <phoneticPr fontId="1" type="noConversion"/>
  </si>
  <si>
    <t>M2</t>
    <phoneticPr fontId="1" type="noConversion"/>
  </si>
  <si>
    <t>F</t>
    <phoneticPr fontId="1" type="noConversion"/>
  </si>
  <si>
    <t>32X32</t>
    <phoneticPr fontId="1" type="noConversion"/>
  </si>
  <si>
    <t>16x17</t>
    <phoneticPr fontId="1" type="noConversion"/>
  </si>
  <si>
    <t>PMF_F16_1</t>
    <phoneticPr fontId="1" type="noConversion"/>
  </si>
  <si>
    <t>PMF_F16_2</t>
    <phoneticPr fontId="1" type="noConversion"/>
  </si>
  <si>
    <t>comment</t>
    <phoneticPr fontId="1" type="noConversion"/>
  </si>
  <si>
    <t>PMF_F8_3</t>
    <phoneticPr fontId="1" type="noConversion"/>
  </si>
  <si>
    <t>需要在pmf中做4个bit/dist 的累加</t>
    <phoneticPr fontId="1" type="noConversion"/>
  </si>
  <si>
    <t>last</t>
    <phoneticPr fontId="1" type="noConversion"/>
  </si>
  <si>
    <t>[1:0][1:0][3:0]</t>
  </si>
  <si>
    <t>[1:0][1:0][3:0][7:0]</t>
  </si>
  <si>
    <t>[1:0][1:0][3:0][15:0][9:0]</t>
  </si>
  <si>
    <t>[1:0][1:0][3:0][7:0][9:0]</t>
  </si>
  <si>
    <t>与最后数据信号同cycle，对于intra来说整个pu结束给last；对于pmf，inter8*8每个4x4给，luma：inter64每个32给，chroma32每个16给</t>
    <phoneticPr fontId="1" type="noConversion"/>
  </si>
  <si>
    <t>0：disable
1：enable ，fdct，idct bypass
intra 2个TQITQ4，一个做transform==0；一个做transform==1；
pmf用一套TQITQ4，intra4*4分2个cycle传同样的数据，transform一个为0，一个为1；inter8*8 拆成独立的4x4，4个skip=0的4x4和4个skip=1的4x4， 每个4x4给对应的bits和dist，pmf自己做累加；</t>
    <phoneticPr fontId="1" type="noConversion"/>
  </si>
  <si>
    <t>0：luma   1：chroma-u   2：chroma-v</t>
    <phoneticPr fontId="1" type="noConversion"/>
  </si>
  <si>
    <t>intra block:0,  inter block:1</t>
    <phoneticPr fontId="1" type="noConversion"/>
  </si>
  <si>
    <t>0：size
1：size*2
2：size*4
H264 TQITQ4 ：0 ：4，1：8，2：16
H264 TQITQ8 ：0：8，1：16
H265 TQITQ4： 0：4，1：8</t>
    <phoneticPr fontId="1" type="noConversion"/>
  </si>
  <si>
    <t>FME/M0/M1/M2;(TQITQ自己不使用，透传给pmf使用)intra、pmf复用</t>
    <phoneticPr fontId="1" type="noConversion"/>
  </si>
  <si>
    <t>TU block x coordinate ,4-pix unit</t>
    <phoneticPr fontId="1" type="noConversion"/>
  </si>
  <si>
    <t>TU block y coordinate ,4-pix unit</t>
    <phoneticPr fontId="1" type="noConversion"/>
  </si>
  <si>
    <t>Scan order for coefficient coding:（hevc intra4和intra8三种扫描顺序，其他均为0）
0: up-right
1: horizontal
2: vertical</t>
    <phoneticPr fontId="1" type="noConversion"/>
  </si>
  <si>
    <t>QP used in quantization, 0-51 for 8-bit, 0-63 for 10-bit</t>
    <phoneticPr fontId="1" type="noConversion"/>
  </si>
  <si>
    <t>The number of bits estimated for the residual
[T_RDO_RESBITS-1:0]  bits</t>
    <phoneticPr fontId="1" type="noConversion"/>
  </si>
  <si>
    <t>The number of coefficients that was not quantized to zero
[T_RDO_NCOEFFS-1:0]  ncoeff</t>
    <phoneticPr fontId="1" type="noConversion"/>
  </si>
  <si>
    <t>The distortion calculated for the block
[T_RDO_DIST-1:0]  dist</t>
    <phoneticPr fontId="1" type="noConversion"/>
  </si>
  <si>
    <t>The distortion calculated for the block with all zero residual
[T_RDO_DIST-1:0]  zdist</t>
    <phoneticPr fontId="1" type="noConversion"/>
  </si>
  <si>
    <t>同上</t>
    <phoneticPr fontId="1" type="noConversion"/>
  </si>
  <si>
    <t>8x8</t>
    <phoneticPr fontId="1" type="noConversion"/>
  </si>
  <si>
    <t>16x16</t>
    <phoneticPr fontId="1" type="noConversion"/>
  </si>
  <si>
    <t>32x32</t>
    <phoneticPr fontId="1" type="noConversion"/>
  </si>
  <si>
    <t>64x64</t>
    <phoneticPr fontId="1" type="noConversion"/>
  </si>
  <si>
    <t>cu</t>
    <phoneticPr fontId="1" type="noConversion"/>
  </si>
  <si>
    <t>通道</t>
    <phoneticPr fontId="1" type="noConversion"/>
  </si>
  <si>
    <t>行为</t>
    <phoneticPr fontId="1" type="noConversion"/>
  </si>
  <si>
    <t>H265: 8x2 ； H264: 2x8</t>
    <phoneticPr fontId="1" type="noConversion"/>
  </si>
  <si>
    <t>H265: 16x1 ； H264: 2x8;具体见TQITQ 接口行为</t>
    <phoneticPr fontId="1" type="noConversion"/>
  </si>
  <si>
    <t xml:space="preserve">H265: 16x1 ； </t>
    <phoneticPr fontId="1" type="noConversion"/>
  </si>
  <si>
    <t>H265: 16x1 ；</t>
    <phoneticPr fontId="1" type="noConversion"/>
  </si>
  <si>
    <t>UV</t>
    <phoneticPr fontId="1" type="noConversion"/>
  </si>
  <si>
    <t>TQITQ 算出cu 的结果</t>
    <phoneticPr fontId="1" type="noConversion"/>
  </si>
  <si>
    <t>TS</t>
    <phoneticPr fontId="1" type="noConversion"/>
  </si>
  <si>
    <t>CU_SKIP</t>
    <phoneticPr fontId="1" type="noConversion"/>
  </si>
  <si>
    <t>需要在pmf中先做TS PK, 再做4个bit/dist 的累加</t>
    <phoneticPr fontId="1" type="noConversion"/>
  </si>
  <si>
    <t>qp</t>
    <phoneticPr fontId="1" type="noConversion"/>
  </si>
  <si>
    <t>[4:0][6:0]</t>
    <phoneticPr fontId="1" type="noConversion"/>
  </si>
  <si>
    <t>4个32x32 块 和1个 64x64 块（32以下共用）</t>
    <phoneticPr fontId="1" type="noConversion"/>
  </si>
  <si>
    <t>输出考虑了内部缓冲重组</t>
    <phoneticPr fontId="1" type="noConversion"/>
  </si>
  <si>
    <t>PMF_M16_1_a</t>
    <phoneticPr fontId="1" type="noConversion"/>
  </si>
  <si>
    <t>PMF_M16_2_a</t>
    <phoneticPr fontId="1" type="noConversion"/>
  </si>
  <si>
    <t>PMF_M16_3_a</t>
    <phoneticPr fontId="1" type="noConversion"/>
  </si>
  <si>
    <t>PMF_M16_0_b</t>
    <phoneticPr fontId="1" type="noConversion"/>
  </si>
  <si>
    <t>PMF_M8_3_a</t>
    <phoneticPr fontId="1" type="noConversion"/>
  </si>
  <si>
    <t>PMF_F16_1</t>
    <phoneticPr fontId="1" type="noConversion"/>
  </si>
  <si>
    <t>面积</t>
    <phoneticPr fontId="1" type="noConversion"/>
  </si>
  <si>
    <t>模块</t>
    <phoneticPr fontId="1" type="noConversion"/>
  </si>
  <si>
    <t>预估当个面积</t>
    <phoneticPr fontId="1" type="noConversion"/>
  </si>
  <si>
    <t>数量</t>
    <phoneticPr fontId="1" type="noConversion"/>
  </si>
  <si>
    <t>int_Y</t>
    <phoneticPr fontId="1" type="noConversion"/>
  </si>
  <si>
    <t>int_uv</t>
    <phoneticPr fontId="1" type="noConversion"/>
  </si>
  <si>
    <t>res</t>
    <phoneticPr fontId="1" type="noConversion"/>
  </si>
  <si>
    <t>mode_pk</t>
    <phoneticPr fontId="1" type="noConversion"/>
  </si>
  <si>
    <t>src_reg</t>
    <phoneticPr fontId="1" type="noConversion"/>
  </si>
  <si>
    <t>out_buf</t>
    <phoneticPr fontId="1" type="noConversion"/>
  </si>
  <si>
    <t>fsm_ctrl</t>
    <phoneticPr fontId="1" type="noConversion"/>
  </si>
  <si>
    <t>P 总面积</t>
    <phoneticPr fontId="1" type="noConversion"/>
  </si>
  <si>
    <t>B 总面积</t>
    <phoneticPr fontId="1" type="noConversion"/>
  </si>
  <si>
    <t>汇总</t>
    <phoneticPr fontId="1" type="noConversion"/>
  </si>
  <si>
    <t>P</t>
    <phoneticPr fontId="1" type="noConversion"/>
  </si>
  <si>
    <t>P 片</t>
    <phoneticPr fontId="1" type="noConversion"/>
  </si>
  <si>
    <t>B 片</t>
    <phoneticPr fontId="1" type="noConversion"/>
  </si>
  <si>
    <t>B bit</t>
    <phoneticPr fontId="1" type="noConversion"/>
  </si>
  <si>
    <t>KB</t>
    <phoneticPr fontId="1" type="noConversion"/>
  </si>
  <si>
    <t>P 容量</t>
    <phoneticPr fontId="1" type="noConversion"/>
  </si>
  <si>
    <t>B 容量</t>
    <phoneticPr fontId="1" type="noConversion"/>
  </si>
  <si>
    <t>bit</t>
    <phoneticPr fontId="1" type="noConversion"/>
  </si>
  <si>
    <t>单片面积</t>
    <phoneticPr fontId="1" type="noConversion"/>
  </si>
  <si>
    <t>P 面积</t>
    <phoneticPr fontId="1" type="noConversion"/>
  </si>
  <si>
    <t>B 面积</t>
    <phoneticPr fontId="1" type="noConversion"/>
  </si>
  <si>
    <t>ref ram</t>
    <phoneticPr fontId="1" type="noConversion"/>
  </si>
  <si>
    <t>out ram</t>
    <phoneticPr fontId="1" type="noConversion"/>
  </si>
  <si>
    <t>pmf2sel_pred_info</t>
    <phoneticPr fontId="1" type="noConversion"/>
  </si>
  <si>
    <t>pmf2sel_pred_data</t>
    <phoneticPr fontId="1" type="noConversion"/>
  </si>
  <si>
    <t>5x [15:0][9:0]</t>
    <phoneticPr fontId="1" type="noConversion"/>
  </si>
  <si>
    <t>pmf2tqitq_res_data</t>
    <phoneticPr fontId="1" type="noConversion"/>
  </si>
  <si>
    <t>pmf2tqitq_res_info</t>
    <phoneticPr fontId="1" type="noConversion"/>
  </si>
  <si>
    <t>M0 （B)</t>
    <phoneticPr fontId="1" type="noConversion"/>
  </si>
  <si>
    <t>…</t>
    <phoneticPr fontId="1" type="noConversion"/>
  </si>
  <si>
    <t>no data</t>
    <phoneticPr fontId="1" type="noConversion"/>
  </si>
  <si>
    <t>16x1 pixel</t>
    <phoneticPr fontId="1" type="noConversion"/>
  </si>
  <si>
    <t>112x112</t>
    <phoneticPr fontId="1" type="noConversion"/>
  </si>
  <si>
    <t>P 面积422</t>
    <phoneticPr fontId="1" type="noConversion"/>
  </si>
  <si>
    <t>B 面积422</t>
    <phoneticPr fontId="1" type="noConversion"/>
  </si>
  <si>
    <t>P总面积422</t>
    <phoneticPr fontId="1" type="noConversion"/>
  </si>
  <si>
    <t>B 总面积422</t>
    <phoneticPr fontId="1" type="noConversion"/>
  </si>
  <si>
    <t>JPEG</t>
    <phoneticPr fontId="1" type="noConversion"/>
  </si>
  <si>
    <t>420 U</t>
    <phoneticPr fontId="1" type="noConversion"/>
  </si>
  <si>
    <t>420 V</t>
    <phoneticPr fontId="1" type="noConversion"/>
  </si>
  <si>
    <t>420 Y</t>
    <phoneticPr fontId="1" type="noConversion"/>
  </si>
  <si>
    <t>8x8</t>
    <phoneticPr fontId="1" type="noConversion"/>
  </si>
  <si>
    <t>16x16</t>
    <phoneticPr fontId="1" type="noConversion"/>
  </si>
  <si>
    <t>数据搬运</t>
    <phoneticPr fontId="1" type="noConversion"/>
  </si>
  <si>
    <t>422 Y</t>
    <phoneticPr fontId="1" type="noConversion"/>
  </si>
  <si>
    <t>422 U</t>
    <phoneticPr fontId="1" type="noConversion"/>
  </si>
  <si>
    <t>422 V</t>
    <phoneticPr fontId="1" type="noConversion"/>
  </si>
  <si>
    <t>8x16</t>
    <phoneticPr fontId="1" type="noConversion"/>
  </si>
  <si>
    <t>[1:0][2:0]</t>
    <phoneticPr fontId="1" type="noConversion"/>
  </si>
  <si>
    <t>logic</t>
    <phoneticPr fontId="1" type="noConversion"/>
  </si>
  <si>
    <t>ram</t>
    <phoneticPr fontId="1" type="noConversion"/>
  </si>
  <si>
    <t>P_10bit_420</t>
    <phoneticPr fontId="1" type="noConversion"/>
  </si>
  <si>
    <t>P_8bit_420</t>
    <phoneticPr fontId="1" type="noConversion"/>
  </si>
  <si>
    <t>B_10bit_420</t>
    <phoneticPr fontId="1" type="noConversion"/>
  </si>
  <si>
    <t>P_10bit_422</t>
    <phoneticPr fontId="1" type="noConversion"/>
  </si>
  <si>
    <t>P_8bit_422</t>
    <phoneticPr fontId="1" type="noConversion"/>
  </si>
  <si>
    <t>B_10bit_422</t>
    <phoneticPr fontId="1" type="noConversion"/>
  </si>
  <si>
    <t>total</t>
    <phoneticPr fontId="1" type="noConversion"/>
  </si>
  <si>
    <t>pmf2tqitq_res_id</t>
    <phoneticPr fontId="1" type="noConversion"/>
  </si>
  <si>
    <t>out</t>
    <phoneticPr fontId="1" type="noConversion"/>
  </si>
  <si>
    <t>[1:0][2:0]</t>
    <phoneticPr fontId="1" type="noConversion"/>
  </si>
  <si>
    <t>res mux id with intra ；0 for 16x16； 1 for 32x32</t>
    <phoneticPr fontId="1" type="noConversion"/>
  </si>
  <si>
    <t>INTRA</t>
    <phoneticPr fontId="1" type="noConversion"/>
  </si>
  <si>
    <t>intra2pmf_src_req</t>
    <phoneticPr fontId="1" type="noConversion"/>
  </si>
  <si>
    <t>in</t>
    <phoneticPr fontId="1" type="noConversion"/>
  </si>
  <si>
    <t>intra2pmf_src_req_pos</t>
    <phoneticPr fontId="1" type="noConversion"/>
  </si>
  <si>
    <t>intra2pmf_src_req_type</t>
    <phoneticPr fontId="1" type="noConversion"/>
  </si>
  <si>
    <t>[15:0][9:0]</t>
    <phoneticPr fontId="1" type="noConversion"/>
  </si>
  <si>
    <t>16pixel blk z_scan order in 16x16</t>
    <phoneticPr fontId="1" type="noConversion"/>
  </si>
  <si>
    <t>intra2pmf_src_last</t>
    <phoneticPr fontId="1" type="noConversion"/>
  </si>
  <si>
    <t>if data ready;set 1;</t>
    <phoneticPr fontId="1" type="noConversion"/>
  </si>
  <si>
    <t>intra use 16x16 done;(只有有效块需要发）</t>
    <phoneticPr fontId="1" type="noConversion"/>
  </si>
  <si>
    <t>pmf2intra_src_ack</t>
    <phoneticPr fontId="1" type="noConversion"/>
  </si>
  <si>
    <t>pmf2intra_src_ack_data</t>
    <phoneticPr fontId="1" type="noConversion"/>
  </si>
  <si>
    <t>0: 4x1x4(h265)； 1:8x2; 2:16x1;  3: not used;  4:2x8(264); 5:1x4x4(264)</t>
    <phoneticPr fontId="1" type="noConversion"/>
  </si>
  <si>
    <t>0：反馈 N-2 mmvp; 1 ： 反馈N-1 mmvp;</t>
    <phoneticPr fontId="1" type="noConversion"/>
  </si>
  <si>
    <t>8x8 需要2个N-2_mmvp + 1个 N-1_mmvp； 16/32 需要2个N-1_mmvp; 64需要1个N-1_mmvp
当cand_idx = 1: blk_size=8:  {(MSB)前一轮发送的mmvp1(N-2)的merge_idx1(N-1), 前一轮发送的mmvp0(N-2)的merge_idx0(N-1)} ；若不存在，写成 3‘b111;    
other: not used ; default to 0;</t>
    <phoneticPr fontId="1" type="noConversion"/>
  </si>
  <si>
    <t>pmf2intra_src_sync_mbx</t>
    <phoneticPr fontId="1" type="noConversion"/>
  </si>
  <si>
    <t>pmf2intra_src_sync_mby</t>
    <phoneticPr fontId="1" type="noConversion"/>
  </si>
  <si>
    <t>16x16 blk pos x in CTU;(update when loading done)  只loading 有效数据（边界外跳过）</t>
    <phoneticPr fontId="1" type="noConversion"/>
  </si>
  <si>
    <t>16x16 blk pos y in CTU;(update when loading done)  只loading 有效数据（边界外跳过）</t>
    <phoneticPr fontId="1" type="noConversion"/>
  </si>
  <si>
    <t>TQITQ 算出MB 的结果</t>
    <phoneticPr fontId="1" type="noConversion"/>
  </si>
  <si>
    <t>以72*72空间统计（单core)</t>
    <phoneticPr fontId="1" type="noConversion"/>
  </si>
  <si>
    <t>以72*72空间统计(双core)</t>
    <phoneticPr fontId="1" type="noConversion"/>
  </si>
  <si>
    <t>以112*112 空间统计（双core)</t>
    <phoneticPr fontId="1" type="noConversion"/>
  </si>
  <si>
    <t xml:space="preserve">8x8 </t>
    <phoneticPr fontId="1" type="noConversion"/>
  </si>
  <si>
    <t xml:space="preserve">16x16 </t>
    <phoneticPr fontId="1" type="noConversion"/>
  </si>
  <si>
    <t>64x64 （切成4个32x32)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</si>
</sst>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rgb="FFF54A45"/>
      <name val="等线"/>
      <family val="3"/>
      <charset val="134"/>
      <scheme val="minor"/>
    </font>
    <font>
      <b/>
      <sz val="10"/>
      <color rgb="FF1F2329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172B4D"/>
      <name val="Segoe UI"/>
      <family val="2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0"/>
      <color rgb="FFFF000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/>
      <bottom style="thin">
        <color rgb="FFDEE0E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DEE0E3"/>
      </right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16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8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3" fillId="0" borderId="2" xfId="0" applyFont="1" applyBorder="1" applyAlignment="1">
      <alignment vertical="top"/>
    </xf>
    <xf numFmtId="0" fontId="6" fillId="0" borderId="2" xfId="0" applyFont="1" applyBorder="1">
      <alignment vertical="center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5" borderId="0" xfId="0" applyFill="1">
      <alignment vertical="center"/>
    </xf>
    <xf numFmtId="0" fontId="4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0" fillId="3" borderId="13" xfId="0" applyFill="1" applyBorder="1">
      <alignment vertical="center"/>
    </xf>
    <xf numFmtId="0" fontId="10" fillId="0" borderId="16" xfId="0" applyFont="1" applyBorder="1">
      <alignment vertical="center"/>
    </xf>
    <xf numFmtId="0" fontId="1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4" fillId="0" borderId="20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12" fillId="0" borderId="0" xfId="0" applyFont="1">
      <alignment vertical="center"/>
    </xf>
    <xf numFmtId="0" fontId="10" fillId="0" borderId="17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>
      <alignment vertical="center"/>
    </xf>
    <xf numFmtId="0" fontId="10" fillId="0" borderId="15" xfId="0" applyFont="1" applyBorder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0" fillId="0" borderId="0" xfId="0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3" fillId="6" borderId="36" xfId="0" applyFont="1" applyFill="1" applyBorder="1" applyAlignment="1">
      <alignment horizontal="left" vertical="top" wrapText="1"/>
    </xf>
    <xf numFmtId="0" fontId="13" fillId="6" borderId="36" xfId="0" applyFont="1" applyFill="1" applyBorder="1" applyAlignment="1">
      <alignment horizontal="left" vertical="center" wrapText="1"/>
    </xf>
    <xf numFmtId="0" fontId="13" fillId="6" borderId="37" xfId="0" applyFont="1" applyFill="1" applyBorder="1" applyAlignment="1">
      <alignment horizontal="left" vertical="top" wrapText="1"/>
    </xf>
    <xf numFmtId="0" fontId="13" fillId="6" borderId="37" xfId="0" applyFont="1" applyFill="1" applyBorder="1" applyAlignment="1">
      <alignment horizontal="left" vertical="center" wrapText="1"/>
    </xf>
    <xf numFmtId="0" fontId="13" fillId="6" borderId="37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0" fillId="0" borderId="22" xfId="0" applyBorder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11" fillId="2" borderId="17" xfId="0" applyFont="1" applyFill="1" applyBorder="1">
      <alignment vertical="center"/>
    </xf>
    <xf numFmtId="0" fontId="14" fillId="7" borderId="38" xfId="0" applyFont="1" applyFill="1" applyBorder="1" applyAlignment="1">
      <alignment horizontal="left" vertical="center" wrapText="1"/>
    </xf>
    <xf numFmtId="0" fontId="4" fillId="0" borderId="38" xfId="0" applyFont="1" applyBorder="1" applyAlignment="1">
      <alignment vertical="center" wrapText="1"/>
    </xf>
    <xf numFmtId="0" fontId="4" fillId="0" borderId="38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8" borderId="13" xfId="0" applyFill="1" applyBorder="1">
      <alignment vertical="center"/>
    </xf>
    <xf numFmtId="0" fontId="0" fillId="9" borderId="13" xfId="0" applyFill="1" applyBorder="1">
      <alignment vertical="center"/>
    </xf>
    <xf numFmtId="0" fontId="0" fillId="10" borderId="13" xfId="0" applyFill="1" applyBorder="1">
      <alignment vertical="center"/>
    </xf>
    <xf numFmtId="0" fontId="0" fillId="11" borderId="13" xfId="0" applyFill="1" applyBorder="1">
      <alignment vertical="center"/>
    </xf>
    <xf numFmtId="0" fontId="2" fillId="0" borderId="13" xfId="0" applyFont="1" applyBorder="1">
      <alignment vertical="center"/>
    </xf>
    <xf numFmtId="0" fontId="0" fillId="0" borderId="13" xfId="0" applyBorder="1" applyAlignment="1">
      <alignment horizontal="right" vertical="center"/>
    </xf>
    <xf numFmtId="0" fontId="12" fillId="0" borderId="13" xfId="0" applyFont="1" applyBorder="1" applyAlignment="1">
      <alignment vertical="top" wrapText="1"/>
    </xf>
    <xf numFmtId="0" fontId="12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top"/>
    </xf>
    <xf numFmtId="0" fontId="15" fillId="0" borderId="0" xfId="0" applyFont="1">
      <alignment vertical="center"/>
    </xf>
    <xf numFmtId="0" fontId="11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0" fillId="0" borderId="3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4" fillId="7" borderId="39" xfId="0" applyFont="1" applyFill="1" applyBorder="1" applyAlignment="1">
      <alignment horizontal="left" vertical="center" wrapText="1"/>
    </xf>
    <xf numFmtId="0" fontId="14" fillId="7" borderId="40" xfId="0" applyFont="1" applyFill="1" applyBorder="1" applyAlignment="1">
      <alignment horizontal="left" vertical="center" wrapText="1"/>
    </xf>
    <xf numFmtId="0" fontId="14" fillId="7" borderId="39" xfId="0" applyFont="1" applyFill="1" applyBorder="1" applyAlignment="1">
      <alignment horizontal="left" vertical="top" wrapText="1"/>
    </xf>
    <xf numFmtId="0" fontId="14" fillId="7" borderId="40" xfId="0" applyFont="1" applyFill="1" applyBorder="1" applyAlignment="1">
      <alignment horizontal="left" vertical="top" wrapText="1"/>
    </xf>
    <xf numFmtId="0" fontId="4" fillId="0" borderId="39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39" xfId="0" applyFont="1" applyBorder="1" applyAlignment="1">
      <alignment vertical="top" wrapText="1"/>
    </xf>
    <xf numFmtId="0" fontId="4" fillId="0" borderId="40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53</xdr:row>
      <xdr:rowOff>0</xdr:rowOff>
    </xdr:from>
    <xdr:to>
      <xdr:col>17</xdr:col>
      <xdr:colOff>493643</xdr:colOff>
      <xdr:row>59</xdr:row>
      <xdr:rowOff>101972</xdr:rowOff>
    </xdr:to>
    <xdr:sp macro="" textlink="">
      <xdr:nvSpPr>
        <xdr:cNvPr id="18436" name="AutoShape 4" descr="https://confluence.armchina.com/download/attachments/187526184/image-2026-1-12_11-52-30.png?version=1&amp;modificationDate=1768189950408&amp;api=v2">
          <a:extLst>
            <a:ext uri="{FF2B5EF4-FFF2-40B4-BE49-F238E27FC236}">
              <a16:creationId xmlns:a16="http://schemas.microsoft.com/office/drawing/2014/main" id="{75A1CAF7-EC72-4815-B5F3-4E3F6379D837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9639300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55</xdr:row>
      <xdr:rowOff>0</xdr:rowOff>
    </xdr:from>
    <xdr:to>
      <xdr:col>17</xdr:col>
      <xdr:colOff>1303268</xdr:colOff>
      <xdr:row>62</xdr:row>
      <xdr:rowOff>137878</xdr:rowOff>
    </xdr:to>
    <xdr:sp macro="" textlink="">
      <xdr:nvSpPr>
        <xdr:cNvPr id="18437" name="AutoShape 5" descr="https://confluence.armchina.com/download/attachments/187526184/image-2026-1-12_15-48-19.png?version=1&amp;modificationDate=1768204099792&amp;api=v2">
          <a:extLst>
            <a:ext uri="{FF2B5EF4-FFF2-40B4-BE49-F238E27FC236}">
              <a16:creationId xmlns:a16="http://schemas.microsoft.com/office/drawing/2014/main" id="{5EA3A261-8A9F-427B-8611-87F9B486D42E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11372850"/>
          <a:ext cx="1990725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333375</xdr:colOff>
      <xdr:row>62</xdr:row>
      <xdr:rowOff>144118</xdr:rowOff>
    </xdr:to>
    <xdr:sp macro="" textlink="">
      <xdr:nvSpPr>
        <xdr:cNvPr id="18438" name="AutoShape 6" descr="https://confluence.armchina.com/download/attachments/187526184/image-2026-1-12_12-15-13.png?version=1&amp;modificationDate=1768191313506&amp;api=v2">
          <a:extLst>
            <a:ext uri="{FF2B5EF4-FFF2-40B4-BE49-F238E27FC236}">
              <a16:creationId xmlns:a16="http://schemas.microsoft.com/office/drawing/2014/main" id="{FBF74220-6CB1-4A9E-B16F-C5F65E30F2A1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165544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66</xdr:row>
      <xdr:rowOff>0</xdr:rowOff>
    </xdr:from>
    <xdr:to>
      <xdr:col>17</xdr:col>
      <xdr:colOff>493643</xdr:colOff>
      <xdr:row>72</xdr:row>
      <xdr:rowOff>27890</xdr:rowOff>
    </xdr:to>
    <xdr:sp macro="" textlink="">
      <xdr:nvSpPr>
        <xdr:cNvPr id="18439" name="AutoShape 7" descr="https://confluence.armchina.com/download/attachments/187526184/image-2026-1-12_11-52-30.png?version=1&amp;modificationDate=1768189950408&amp;api=v2">
          <a:extLst>
            <a:ext uri="{FF2B5EF4-FFF2-40B4-BE49-F238E27FC236}">
              <a16:creationId xmlns:a16="http://schemas.microsoft.com/office/drawing/2014/main" id="{5FE9BCB7-78B0-472F-A0AA-F1018B014A17}"/>
            </a:ext>
          </a:extLst>
        </xdr:cNvPr>
        <xdr:cNvSpPr>
          <a:spLocks noChangeAspect="1" noChangeArrowheads="1"/>
        </xdr:cNvSpPr>
      </xdr:nvSpPr>
      <xdr:spPr bwMode="auto">
        <a:xfrm>
          <a:off x="17306925" y="16849725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73</xdr:row>
      <xdr:rowOff>0</xdr:rowOff>
    </xdr:from>
    <xdr:to>
      <xdr:col>17</xdr:col>
      <xdr:colOff>333375</xdr:colOff>
      <xdr:row>74</xdr:row>
      <xdr:rowOff>140390</xdr:rowOff>
    </xdr:to>
    <xdr:sp macro="" textlink="">
      <xdr:nvSpPr>
        <xdr:cNvPr id="18440" name="AutoShape 8" descr="https://confluence.armchina.com/download/attachments/187526184/image-2026-1-12_12-15-13.png?version=1&amp;modificationDate=1768191313506&amp;api=v2">
          <a:extLst>
            <a:ext uri="{FF2B5EF4-FFF2-40B4-BE49-F238E27FC236}">
              <a16:creationId xmlns:a16="http://schemas.microsoft.com/office/drawing/2014/main" id="{DFF5547E-3294-4EF0-9E41-B6A4DCFB65A8}"/>
            </a:ext>
          </a:extLst>
        </xdr:cNvPr>
        <xdr:cNvSpPr>
          <a:spLocks noChangeAspect="1" noChangeArrowheads="1"/>
        </xdr:cNvSpPr>
      </xdr:nvSpPr>
      <xdr:spPr bwMode="auto">
        <a:xfrm>
          <a:off x="17306925" y="211645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9466-5853-41C3-ACC8-1F2734C6766C}">
  <dimension ref="A1:U233"/>
  <sheetViews>
    <sheetView topLeftCell="A81" zoomScale="115" zoomScaleNormal="115" workbookViewId="0">
      <selection activeCell="A96" sqref="A96:D100"/>
    </sheetView>
  </sheetViews>
  <sheetFormatPr defaultRowHeight="14.25" x14ac:dyDescent="0.2"/>
  <cols>
    <col min="1" max="1" width="21.5" customWidth="1"/>
    <col min="2" max="2" width="13.625" customWidth="1"/>
    <col min="3" max="3" width="9" customWidth="1"/>
    <col min="4" max="4" width="17.375" customWidth="1"/>
    <col min="7" max="7" width="13" customWidth="1"/>
    <col min="13" max="13" width="10.25" customWidth="1"/>
  </cols>
  <sheetData>
    <row r="1" spans="1:21" x14ac:dyDescent="0.2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>
        <v>420</v>
      </c>
      <c r="G1" s="3">
        <v>422</v>
      </c>
      <c r="H1" s="3" t="s">
        <v>59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">
      <c r="A2" s="3" t="s">
        <v>60</v>
      </c>
      <c r="B2" s="3">
        <v>64</v>
      </c>
      <c r="C2" s="3">
        <v>8</v>
      </c>
      <c r="D2" s="3">
        <v>6</v>
      </c>
      <c r="E2" s="3" t="s">
        <v>61</v>
      </c>
      <c r="F2" s="3" t="s">
        <v>62</v>
      </c>
      <c r="G2" s="3" t="s">
        <v>63</v>
      </c>
      <c r="H2" s="3" t="s">
        <v>64</v>
      </c>
      <c r="I2" s="4"/>
      <c r="J2" s="4"/>
      <c r="K2" s="4"/>
      <c r="L2" s="4"/>
      <c r="M2" s="4"/>
      <c r="N2" s="4"/>
      <c r="O2" s="10" t="s">
        <v>76</v>
      </c>
      <c r="P2" s="8" t="s">
        <v>79</v>
      </c>
      <c r="Q2" s="11" t="s">
        <v>55</v>
      </c>
      <c r="R2" s="9" t="s">
        <v>56</v>
      </c>
      <c r="S2" s="8" t="s">
        <v>77</v>
      </c>
      <c r="T2" s="8" t="s">
        <v>80</v>
      </c>
      <c r="U2" s="8" t="s">
        <v>78</v>
      </c>
    </row>
    <row r="3" spans="1:21" x14ac:dyDescent="0.2">
      <c r="A3" s="3" t="s">
        <v>65</v>
      </c>
      <c r="B3" s="3">
        <v>16</v>
      </c>
      <c r="C3" s="3">
        <v>24</v>
      </c>
      <c r="D3" s="3">
        <v>6</v>
      </c>
      <c r="E3" s="3" t="s">
        <v>66</v>
      </c>
      <c r="F3" s="3" t="s">
        <v>60</v>
      </c>
      <c r="G3" s="3" t="s">
        <v>67</v>
      </c>
      <c r="H3" s="3" t="s">
        <v>68</v>
      </c>
      <c r="I3" s="4"/>
      <c r="J3" s="4"/>
      <c r="K3" s="4"/>
      <c r="L3" s="4"/>
      <c r="M3" s="4"/>
      <c r="N3" s="4"/>
      <c r="O3" s="118" t="s">
        <v>81</v>
      </c>
      <c r="P3" s="24" t="s">
        <v>637</v>
      </c>
      <c r="Q3" s="9">
        <v>64</v>
      </c>
      <c r="R3" s="9">
        <v>8</v>
      </c>
      <c r="S3" s="8">
        <v>2</v>
      </c>
      <c r="T3" s="8">
        <f>Q3*R3*S3</f>
        <v>1024</v>
      </c>
      <c r="U3" s="121">
        <f>T3+T4</f>
        <v>1024</v>
      </c>
    </row>
    <row r="4" spans="1:21" x14ac:dyDescent="0.2">
      <c r="A4" s="3" t="s">
        <v>69</v>
      </c>
      <c r="B4" s="3">
        <v>4</v>
      </c>
      <c r="C4" s="3">
        <v>78</v>
      </c>
      <c r="D4" s="3">
        <v>6</v>
      </c>
      <c r="E4" s="3" t="s">
        <v>70</v>
      </c>
      <c r="F4" s="3" t="s">
        <v>65</v>
      </c>
      <c r="G4" s="3" t="s">
        <v>71</v>
      </c>
      <c r="H4" s="3" t="s">
        <v>68</v>
      </c>
      <c r="I4" s="4"/>
      <c r="J4" s="4"/>
      <c r="K4" s="4"/>
      <c r="L4" s="4"/>
      <c r="M4" s="4"/>
      <c r="N4" s="4"/>
      <c r="O4" s="120"/>
      <c r="P4" s="23" t="s">
        <v>638</v>
      </c>
      <c r="Q4" s="9">
        <v>16</v>
      </c>
      <c r="R4" s="9">
        <v>23</v>
      </c>
      <c r="S4" s="8">
        <v>0</v>
      </c>
      <c r="T4" s="8">
        <f t="shared" ref="T4:T7" si="0">Q4*R4*S4</f>
        <v>0</v>
      </c>
      <c r="U4" s="123"/>
    </row>
    <row r="5" spans="1:21" x14ac:dyDescent="0.2">
      <c r="A5" s="3" t="s">
        <v>72</v>
      </c>
      <c r="B5" s="3">
        <v>1</v>
      </c>
      <c r="C5" s="3">
        <v>284</v>
      </c>
      <c r="D5" s="3">
        <v>6</v>
      </c>
      <c r="E5" s="3">
        <v>2</v>
      </c>
      <c r="F5" s="3" t="s">
        <v>69</v>
      </c>
      <c r="G5" s="3" t="s">
        <v>73</v>
      </c>
      <c r="H5" s="3" t="s">
        <v>64</v>
      </c>
      <c r="I5" s="4"/>
      <c r="J5" s="4"/>
      <c r="K5" s="4"/>
      <c r="L5" s="4"/>
      <c r="M5" s="4"/>
      <c r="N5" s="4"/>
      <c r="O5" s="132" t="s">
        <v>81</v>
      </c>
      <c r="P5" s="23" t="s">
        <v>638</v>
      </c>
      <c r="Q5" s="9">
        <v>16</v>
      </c>
      <c r="R5" s="9">
        <v>23</v>
      </c>
      <c r="S5" s="8">
        <v>2</v>
      </c>
      <c r="T5" s="8">
        <f t="shared" si="0"/>
        <v>736</v>
      </c>
      <c r="U5" s="121">
        <f>T5+T6+T7</f>
        <v>1360</v>
      </c>
    </row>
    <row r="6" spans="1:2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34"/>
      <c r="P6" s="23" t="s">
        <v>296</v>
      </c>
      <c r="Q6" s="9">
        <v>4</v>
      </c>
      <c r="R6" s="9">
        <v>78</v>
      </c>
      <c r="S6" s="12">
        <v>2</v>
      </c>
      <c r="T6" s="8">
        <f t="shared" si="0"/>
        <v>624</v>
      </c>
      <c r="U6" s="122"/>
    </row>
    <row r="7" spans="1:21" x14ac:dyDescent="0.2">
      <c r="A7" s="5" t="s">
        <v>74</v>
      </c>
      <c r="B7" s="5">
        <v>3200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4"/>
      <c r="O7" s="133"/>
      <c r="P7" s="23" t="s">
        <v>639</v>
      </c>
      <c r="Q7" s="9">
        <v>4</v>
      </c>
      <c r="R7" s="9">
        <v>78</v>
      </c>
      <c r="S7" s="8">
        <v>0</v>
      </c>
      <c r="T7" s="8">
        <f t="shared" si="0"/>
        <v>0</v>
      </c>
      <c r="U7" s="123"/>
    </row>
    <row r="8" spans="1:21" x14ac:dyDescent="0.2">
      <c r="A8" s="115" t="s">
        <v>75</v>
      </c>
      <c r="B8" s="116"/>
      <c r="C8" s="116"/>
      <c r="D8" s="116"/>
      <c r="E8" s="116"/>
      <c r="F8" s="116"/>
      <c r="G8" s="116"/>
      <c r="H8" s="116"/>
      <c r="I8" s="116"/>
      <c r="J8" s="116"/>
      <c r="K8" s="117"/>
      <c r="L8" s="5"/>
      <c r="M8" s="5"/>
      <c r="N8" s="4"/>
      <c r="O8" s="4"/>
      <c r="P8" s="4"/>
      <c r="Q8" s="4"/>
      <c r="R8" s="4"/>
      <c r="S8" s="4"/>
      <c r="T8" s="4"/>
      <c r="U8" s="4"/>
    </row>
    <row r="9" spans="1:21" x14ac:dyDescent="0.2">
      <c r="A9" s="6" t="s">
        <v>76</v>
      </c>
      <c r="B9" s="7" t="s">
        <v>55</v>
      </c>
      <c r="C9" s="7" t="s">
        <v>56</v>
      </c>
      <c r="D9" s="6" t="s">
        <v>77</v>
      </c>
      <c r="E9" s="6" t="s">
        <v>78</v>
      </c>
      <c r="F9" s="5"/>
      <c r="G9" s="8" t="s">
        <v>76</v>
      </c>
      <c r="H9" s="5" t="s">
        <v>79</v>
      </c>
      <c r="I9" s="9" t="s">
        <v>55</v>
      </c>
      <c r="J9" s="9" t="s">
        <v>56</v>
      </c>
      <c r="K9" s="8" t="s">
        <v>77</v>
      </c>
      <c r="L9" s="8" t="s">
        <v>80</v>
      </c>
      <c r="M9" s="8" t="s">
        <v>78</v>
      </c>
      <c r="N9" s="4"/>
      <c r="O9" s="10" t="s">
        <v>76</v>
      </c>
      <c r="P9" s="8" t="s">
        <v>79</v>
      </c>
      <c r="Q9" s="11" t="s">
        <v>55</v>
      </c>
      <c r="R9" s="9" t="s">
        <v>56</v>
      </c>
      <c r="S9" s="8" t="s">
        <v>77</v>
      </c>
      <c r="T9" s="8" t="s">
        <v>80</v>
      </c>
      <c r="U9" s="8" t="s">
        <v>78</v>
      </c>
    </row>
    <row r="10" spans="1:21" x14ac:dyDescent="0.2">
      <c r="A10" s="9" t="s">
        <v>60</v>
      </c>
      <c r="B10" s="9">
        <v>64</v>
      </c>
      <c r="C10" s="9">
        <v>8</v>
      </c>
      <c r="D10" s="8">
        <v>2</v>
      </c>
      <c r="E10" s="8">
        <f>B10*C10*D10</f>
        <v>1024</v>
      </c>
      <c r="F10" s="5"/>
      <c r="G10" s="118" t="s">
        <v>81</v>
      </c>
      <c r="H10" s="9" t="s">
        <v>82</v>
      </c>
      <c r="I10" s="9">
        <v>64</v>
      </c>
      <c r="J10" s="9">
        <v>8</v>
      </c>
      <c r="K10" s="8">
        <v>2</v>
      </c>
      <c r="L10" s="8">
        <v>1024</v>
      </c>
      <c r="M10" s="121">
        <v>2440</v>
      </c>
      <c r="N10" s="4"/>
      <c r="O10" s="118" t="s">
        <v>81</v>
      </c>
      <c r="P10" s="7" t="s">
        <v>83</v>
      </c>
      <c r="Q10" s="9">
        <v>64</v>
      </c>
      <c r="R10" s="9">
        <v>8</v>
      </c>
      <c r="S10" s="8">
        <v>4</v>
      </c>
      <c r="T10" s="8">
        <f>Q10*R10*S10</f>
        <v>2048</v>
      </c>
      <c r="U10" s="121">
        <f>T10+T11</f>
        <v>2416</v>
      </c>
    </row>
    <row r="11" spans="1:21" x14ac:dyDescent="0.2">
      <c r="A11" s="9" t="s">
        <v>65</v>
      </c>
      <c r="B11" s="9">
        <v>16</v>
      </c>
      <c r="C11" s="9">
        <v>23</v>
      </c>
      <c r="D11" s="8">
        <v>3</v>
      </c>
      <c r="E11" s="8">
        <f>B11*C11*D11</f>
        <v>1104</v>
      </c>
      <c r="F11" s="5"/>
      <c r="G11" s="119"/>
      <c r="H11" s="9" t="s">
        <v>84</v>
      </c>
      <c r="I11" s="9">
        <v>16</v>
      </c>
      <c r="J11" s="9">
        <v>23</v>
      </c>
      <c r="K11" s="8">
        <v>3</v>
      </c>
      <c r="L11" s="8">
        <v>1104</v>
      </c>
      <c r="M11" s="122"/>
      <c r="N11" s="4"/>
      <c r="O11" s="120"/>
      <c r="P11" s="9" t="s">
        <v>85</v>
      </c>
      <c r="Q11" s="9">
        <v>16</v>
      </c>
      <c r="R11" s="9">
        <v>23</v>
      </c>
      <c r="S11" s="8">
        <v>1</v>
      </c>
      <c r="T11" s="8">
        <f t="shared" ref="T11:T14" si="1">Q11*R11*S11</f>
        <v>368</v>
      </c>
      <c r="U11" s="123"/>
    </row>
    <row r="12" spans="1:21" x14ac:dyDescent="0.2">
      <c r="A12" s="9" t="s">
        <v>69</v>
      </c>
      <c r="B12" s="9">
        <v>4</v>
      </c>
      <c r="C12" s="9">
        <v>78</v>
      </c>
      <c r="D12" s="8">
        <v>3</v>
      </c>
      <c r="E12" s="8">
        <f>B12*C12*D12</f>
        <v>936</v>
      </c>
      <c r="F12" s="5"/>
      <c r="G12" s="120"/>
      <c r="H12" s="9" t="s">
        <v>86</v>
      </c>
      <c r="I12" s="8">
        <v>4</v>
      </c>
      <c r="J12" s="9">
        <v>78</v>
      </c>
      <c r="K12" s="12">
        <v>1</v>
      </c>
      <c r="L12" s="8">
        <v>312</v>
      </c>
      <c r="M12" s="123"/>
      <c r="N12" s="4"/>
      <c r="O12" s="132" t="s">
        <v>81</v>
      </c>
      <c r="P12" s="9" t="s">
        <v>87</v>
      </c>
      <c r="Q12" s="9">
        <v>16</v>
      </c>
      <c r="R12" s="9">
        <v>23</v>
      </c>
      <c r="S12" s="8">
        <v>2</v>
      </c>
      <c r="T12" s="8">
        <f t="shared" si="1"/>
        <v>736</v>
      </c>
      <c r="U12" s="121">
        <f>T12+T13+T14</f>
        <v>2296</v>
      </c>
    </row>
    <row r="13" spans="1:21" x14ac:dyDescent="0.2">
      <c r="A13" s="9" t="s">
        <v>88</v>
      </c>
      <c r="B13" s="9">
        <v>4</v>
      </c>
      <c r="C13" s="9">
        <v>78</v>
      </c>
      <c r="D13" s="8">
        <v>2</v>
      </c>
      <c r="E13" s="8">
        <f>B13*C13*D13</f>
        <v>624</v>
      </c>
      <c r="F13" s="5"/>
      <c r="G13" s="132" t="s">
        <v>89</v>
      </c>
      <c r="H13" s="9" t="s">
        <v>90</v>
      </c>
      <c r="I13" s="9">
        <v>4</v>
      </c>
      <c r="J13" s="9">
        <v>156</v>
      </c>
      <c r="K13" s="12">
        <v>2</v>
      </c>
      <c r="L13" s="8">
        <v>1248</v>
      </c>
      <c r="M13" s="121">
        <v>2496</v>
      </c>
      <c r="N13" s="4"/>
      <c r="O13" s="134"/>
      <c r="P13" s="9" t="s">
        <v>91</v>
      </c>
      <c r="Q13" s="9">
        <v>4</v>
      </c>
      <c r="R13" s="9">
        <v>78</v>
      </c>
      <c r="S13" s="12">
        <v>3</v>
      </c>
      <c r="T13" s="8">
        <f t="shared" si="1"/>
        <v>936</v>
      </c>
      <c r="U13" s="122"/>
    </row>
    <row r="14" spans="1:21" x14ac:dyDescent="0.2">
      <c r="A14" s="8"/>
      <c r="B14" s="8"/>
      <c r="C14" s="8"/>
      <c r="D14" s="8"/>
      <c r="E14" s="13">
        <v>3688</v>
      </c>
      <c r="F14" s="5"/>
      <c r="G14" s="133"/>
      <c r="H14" s="9" t="s">
        <v>92</v>
      </c>
      <c r="I14" s="9">
        <v>4</v>
      </c>
      <c r="J14" s="9">
        <v>156</v>
      </c>
      <c r="K14" s="8">
        <v>2</v>
      </c>
      <c r="L14" s="8">
        <v>1248</v>
      </c>
      <c r="M14" s="123"/>
      <c r="N14" s="4"/>
      <c r="O14" s="133"/>
      <c r="P14" s="9" t="s">
        <v>92</v>
      </c>
      <c r="Q14" s="9">
        <v>4</v>
      </c>
      <c r="R14" s="9">
        <v>78</v>
      </c>
      <c r="S14" s="8">
        <v>2</v>
      </c>
      <c r="T14" s="8">
        <f t="shared" si="1"/>
        <v>624</v>
      </c>
      <c r="U14" s="123"/>
    </row>
    <row r="15" spans="1:21" x14ac:dyDescent="0.2">
      <c r="A15" s="4"/>
      <c r="B15" s="14"/>
      <c r="C15" s="1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A16" s="19" t="s">
        <v>93</v>
      </c>
      <c r="B16" s="9" t="s">
        <v>55</v>
      </c>
      <c r="C16" s="23" t="s">
        <v>118</v>
      </c>
      <c r="D16" s="8" t="s">
        <v>77</v>
      </c>
      <c r="E16" s="8"/>
      <c r="F16" s="5"/>
      <c r="G16" s="10" t="s">
        <v>94</v>
      </c>
      <c r="H16" s="8" t="s">
        <v>95</v>
      </c>
      <c r="I16" s="11" t="s">
        <v>55</v>
      </c>
      <c r="J16" s="9" t="s">
        <v>56</v>
      </c>
      <c r="K16" s="8" t="s">
        <v>77</v>
      </c>
      <c r="L16" s="8" t="s">
        <v>80</v>
      </c>
      <c r="M16" s="8" t="s">
        <v>96</v>
      </c>
      <c r="N16" s="4"/>
      <c r="O16" s="10" t="s">
        <v>76</v>
      </c>
      <c r="P16" s="8" t="s">
        <v>79</v>
      </c>
      <c r="Q16" s="11" t="s">
        <v>55</v>
      </c>
      <c r="R16" s="9" t="s">
        <v>56</v>
      </c>
      <c r="S16" s="8" t="s">
        <v>77</v>
      </c>
      <c r="T16" s="8" t="s">
        <v>80</v>
      </c>
      <c r="U16" s="8" t="s">
        <v>78</v>
      </c>
    </row>
    <row r="17" spans="1:21" x14ac:dyDescent="0.2">
      <c r="A17" s="22" t="s">
        <v>114</v>
      </c>
      <c r="B17" s="9">
        <v>64</v>
      </c>
      <c r="C17" s="15">
        <v>4</v>
      </c>
      <c r="D17" s="8">
        <v>4</v>
      </c>
      <c r="E17" s="8">
        <f>B17*C17*D17</f>
        <v>1024</v>
      </c>
      <c r="F17" s="5"/>
      <c r="G17" s="118" t="s">
        <v>89</v>
      </c>
      <c r="H17" s="7" t="s">
        <v>62</v>
      </c>
      <c r="I17" s="9">
        <v>64</v>
      </c>
      <c r="J17" s="15">
        <v>4</v>
      </c>
      <c r="K17" s="8">
        <v>2</v>
      </c>
      <c r="L17" s="8">
        <v>512</v>
      </c>
      <c r="M17" s="121">
        <v>2384</v>
      </c>
      <c r="N17" s="4"/>
      <c r="O17" s="118" t="s">
        <v>81</v>
      </c>
      <c r="P17" s="7" t="s">
        <v>82</v>
      </c>
      <c r="Q17" s="9">
        <v>64</v>
      </c>
      <c r="R17" s="9">
        <v>8</v>
      </c>
      <c r="S17" s="8">
        <v>2</v>
      </c>
      <c r="T17" s="8">
        <f>Q17*R17*S17</f>
        <v>1024</v>
      </c>
      <c r="U17" s="121">
        <v>2496</v>
      </c>
    </row>
    <row r="18" spans="1:21" x14ac:dyDescent="0.2">
      <c r="A18" s="22" t="s">
        <v>115</v>
      </c>
      <c r="B18" s="9">
        <v>16</v>
      </c>
      <c r="C18" s="8">
        <v>11</v>
      </c>
      <c r="D18" s="8">
        <v>4</v>
      </c>
      <c r="E18" s="8">
        <f>B18*C18*D18</f>
        <v>704</v>
      </c>
      <c r="F18" s="5"/>
      <c r="G18" s="119"/>
      <c r="H18" s="9" t="s">
        <v>60</v>
      </c>
      <c r="I18" s="9">
        <v>16</v>
      </c>
      <c r="J18" s="8">
        <v>11</v>
      </c>
      <c r="K18" s="8">
        <v>3</v>
      </c>
      <c r="L18" s="8">
        <v>528</v>
      </c>
      <c r="M18" s="122"/>
      <c r="N18" s="4"/>
      <c r="O18" s="119"/>
      <c r="P18" s="9" t="s">
        <v>97</v>
      </c>
      <c r="Q18" s="9">
        <v>16</v>
      </c>
      <c r="R18" s="9">
        <v>23</v>
      </c>
      <c r="S18" s="8">
        <v>4</v>
      </c>
      <c r="T18" s="8">
        <f t="shared" ref="T18:T21" si="2">Q18*R18*S18</f>
        <v>1472</v>
      </c>
      <c r="U18" s="122"/>
    </row>
    <row r="19" spans="1:21" x14ac:dyDescent="0.2">
      <c r="A19" s="22" t="s">
        <v>116</v>
      </c>
      <c r="B19" s="9">
        <v>4</v>
      </c>
      <c r="C19" s="8">
        <v>38</v>
      </c>
      <c r="D19" s="8">
        <v>4</v>
      </c>
      <c r="E19" s="8">
        <f>B19*C19*D19</f>
        <v>608</v>
      </c>
      <c r="F19" s="5"/>
      <c r="G19" s="120"/>
      <c r="H19" s="5" t="s">
        <v>98</v>
      </c>
      <c r="I19" s="9">
        <v>4</v>
      </c>
      <c r="J19" s="8">
        <v>38</v>
      </c>
      <c r="K19" s="16">
        <v>1</v>
      </c>
      <c r="L19" s="8">
        <v>152</v>
      </c>
      <c r="M19" s="123"/>
      <c r="N19" s="4"/>
      <c r="O19" s="120"/>
      <c r="P19" s="9"/>
      <c r="Q19" s="8"/>
      <c r="R19" s="9"/>
      <c r="S19" s="12"/>
      <c r="T19" s="8">
        <f t="shared" si="2"/>
        <v>0</v>
      </c>
      <c r="U19" s="123"/>
    </row>
    <row r="20" spans="1:21" x14ac:dyDescent="0.2">
      <c r="A20" s="22" t="s">
        <v>117</v>
      </c>
      <c r="B20" s="9">
        <v>1</v>
      </c>
      <c r="C20" s="8">
        <v>140</v>
      </c>
      <c r="D20" s="8">
        <v>2</v>
      </c>
      <c r="E20" s="8">
        <f>B20*C20*D20</f>
        <v>280</v>
      </c>
      <c r="F20" s="5"/>
      <c r="G20" s="118" t="s">
        <v>99</v>
      </c>
      <c r="H20" s="9" t="s">
        <v>100</v>
      </c>
      <c r="I20" s="9">
        <v>4</v>
      </c>
      <c r="J20" s="8">
        <v>76</v>
      </c>
      <c r="K20" s="16">
        <v>2</v>
      </c>
      <c r="L20" s="8">
        <v>608</v>
      </c>
      <c r="M20" s="121">
        <v>2336</v>
      </c>
      <c r="N20" s="4"/>
      <c r="O20" s="132" t="s">
        <v>81</v>
      </c>
      <c r="P20" s="9" t="s">
        <v>91</v>
      </c>
      <c r="Q20" s="9">
        <v>4</v>
      </c>
      <c r="R20" s="9">
        <v>78</v>
      </c>
      <c r="S20" s="12">
        <v>4</v>
      </c>
      <c r="T20" s="8">
        <f t="shared" si="2"/>
        <v>1248</v>
      </c>
      <c r="U20" s="121">
        <v>2496</v>
      </c>
    </row>
    <row r="21" spans="1:21" x14ac:dyDescent="0.2">
      <c r="A21" s="8"/>
      <c r="B21" s="8"/>
      <c r="C21" s="8"/>
      <c r="D21" s="8"/>
      <c r="E21" s="13">
        <v>1800</v>
      </c>
      <c r="F21" s="5"/>
      <c r="G21" s="120"/>
      <c r="H21" s="9" t="s">
        <v>101</v>
      </c>
      <c r="I21" s="9">
        <v>1</v>
      </c>
      <c r="J21" s="8">
        <v>280</v>
      </c>
      <c r="K21" s="8">
        <v>2</v>
      </c>
      <c r="L21" s="8">
        <v>560</v>
      </c>
      <c r="M21" s="123"/>
      <c r="N21" s="4"/>
      <c r="O21" s="133"/>
      <c r="P21" s="9" t="s">
        <v>102</v>
      </c>
      <c r="Q21" s="9">
        <v>4</v>
      </c>
      <c r="R21" s="9">
        <v>78</v>
      </c>
      <c r="S21" s="8">
        <v>4</v>
      </c>
      <c r="T21" s="8">
        <f t="shared" si="2"/>
        <v>1248</v>
      </c>
      <c r="U21" s="123"/>
    </row>
    <row r="22" spans="1:2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">
      <c r="A23" s="115" t="s">
        <v>103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7"/>
      <c r="L23" s="5"/>
      <c r="M23" s="5"/>
      <c r="N23" s="4"/>
      <c r="O23" s="4"/>
      <c r="P23" s="4"/>
      <c r="Q23" s="4"/>
      <c r="R23" s="4"/>
      <c r="S23" s="4"/>
      <c r="T23" s="4"/>
      <c r="U23" s="4"/>
    </row>
    <row r="24" spans="1:21" x14ac:dyDescent="0.2">
      <c r="A24" s="8" t="s">
        <v>76</v>
      </c>
      <c r="B24" s="9" t="s">
        <v>55</v>
      </c>
      <c r="C24" s="9" t="s">
        <v>104</v>
      </c>
      <c r="D24" s="8" t="s">
        <v>77</v>
      </c>
      <c r="E24" s="8" t="s">
        <v>78</v>
      </c>
      <c r="F24" s="5"/>
      <c r="G24" s="8" t="s">
        <v>105</v>
      </c>
      <c r="H24" s="8" t="s">
        <v>106</v>
      </c>
      <c r="I24" s="8" t="s">
        <v>107</v>
      </c>
      <c r="J24" s="8" t="s">
        <v>108</v>
      </c>
      <c r="K24" s="8" t="s">
        <v>109</v>
      </c>
      <c r="L24" s="8" t="s">
        <v>110</v>
      </c>
      <c r="M24" s="8"/>
      <c r="N24" s="4"/>
      <c r="O24" s="10" t="s">
        <v>94</v>
      </c>
      <c r="P24" s="8" t="s">
        <v>95</v>
      </c>
      <c r="Q24" s="11" t="s">
        <v>55</v>
      </c>
      <c r="R24" s="9" t="s">
        <v>56</v>
      </c>
      <c r="S24" s="8" t="s">
        <v>77</v>
      </c>
      <c r="T24" s="8" t="s">
        <v>80</v>
      </c>
      <c r="U24" s="25" t="s">
        <v>124</v>
      </c>
    </row>
    <row r="25" spans="1:21" x14ac:dyDescent="0.2">
      <c r="A25" s="9" t="s">
        <v>60</v>
      </c>
      <c r="B25" s="9">
        <v>64</v>
      </c>
      <c r="C25" s="9">
        <v>4</v>
      </c>
      <c r="D25" s="8">
        <v>2</v>
      </c>
      <c r="E25" s="8">
        <f>B25*C25*D25</f>
        <v>512</v>
      </c>
      <c r="F25" s="5"/>
      <c r="G25" s="9" t="s">
        <v>60</v>
      </c>
      <c r="H25" s="8">
        <v>512</v>
      </c>
      <c r="I25" s="8">
        <v>256</v>
      </c>
      <c r="J25" s="8">
        <v>768</v>
      </c>
      <c r="K25" s="8">
        <v>768</v>
      </c>
      <c r="L25" s="8">
        <v>768</v>
      </c>
      <c r="M25" s="13" t="s">
        <v>111</v>
      </c>
      <c r="N25" s="4"/>
      <c r="O25" s="118" t="s">
        <v>81</v>
      </c>
      <c r="P25" s="24" t="s">
        <v>119</v>
      </c>
      <c r="Q25" s="9">
        <v>64</v>
      </c>
      <c r="R25" s="9">
        <v>4</v>
      </c>
      <c r="S25" s="8">
        <v>4</v>
      </c>
      <c r="T25" s="8">
        <f>Q25*R25*S25</f>
        <v>1024</v>
      </c>
      <c r="U25" s="121">
        <f>T25+T26</f>
        <v>1376</v>
      </c>
    </row>
    <row r="26" spans="1:21" x14ac:dyDescent="0.2">
      <c r="A26" s="9" t="s">
        <v>65</v>
      </c>
      <c r="B26" s="9">
        <v>16</v>
      </c>
      <c r="C26" s="9">
        <v>16</v>
      </c>
      <c r="D26" s="8">
        <v>2</v>
      </c>
      <c r="E26" s="8">
        <f>B26*C26*D26</f>
        <v>512</v>
      </c>
      <c r="F26" s="5"/>
      <c r="G26" s="9" t="s">
        <v>65</v>
      </c>
      <c r="H26" s="8">
        <v>512</v>
      </c>
      <c r="I26" s="8">
        <v>256</v>
      </c>
      <c r="J26" s="8">
        <v>768</v>
      </c>
      <c r="K26" s="8">
        <v>768</v>
      </c>
      <c r="L26" s="8">
        <v>1536</v>
      </c>
      <c r="M26" s="121" t="s">
        <v>112</v>
      </c>
      <c r="N26" s="4"/>
      <c r="O26" s="120"/>
      <c r="P26" s="23" t="s">
        <v>120</v>
      </c>
      <c r="Q26" s="9">
        <v>16</v>
      </c>
      <c r="R26" s="9">
        <v>11</v>
      </c>
      <c r="S26" s="8">
        <v>2</v>
      </c>
      <c r="T26" s="8">
        <f t="shared" ref="T26:T29" si="3">Q26*R26*S26</f>
        <v>352</v>
      </c>
      <c r="U26" s="123"/>
    </row>
    <row r="27" spans="1:21" x14ac:dyDescent="0.2">
      <c r="A27" s="9" t="s">
        <v>69</v>
      </c>
      <c r="B27" s="9">
        <v>4</v>
      </c>
      <c r="C27" s="9">
        <v>64</v>
      </c>
      <c r="D27" s="8">
        <v>2</v>
      </c>
      <c r="E27" s="8">
        <f>B27*C27*D27</f>
        <v>512</v>
      </c>
      <c r="F27" s="5"/>
      <c r="G27" s="17" t="s">
        <v>69</v>
      </c>
      <c r="H27" s="18">
        <v>1024</v>
      </c>
      <c r="I27" s="18">
        <v>256</v>
      </c>
      <c r="J27" s="18">
        <v>1280</v>
      </c>
      <c r="K27" s="18">
        <v>512</v>
      </c>
      <c r="L27" s="18">
        <v>1792</v>
      </c>
      <c r="M27" s="123"/>
      <c r="N27" s="4"/>
      <c r="O27" s="132" t="s">
        <v>81</v>
      </c>
      <c r="P27" s="23" t="s">
        <v>121</v>
      </c>
      <c r="Q27" s="9">
        <v>16</v>
      </c>
      <c r="R27" s="9">
        <v>11</v>
      </c>
      <c r="S27" s="8">
        <v>2</v>
      </c>
      <c r="T27" s="8">
        <f t="shared" si="3"/>
        <v>352</v>
      </c>
      <c r="U27" s="121">
        <f>T27+T28+T29</f>
        <v>1240</v>
      </c>
    </row>
    <row r="28" spans="1:21" x14ac:dyDescent="0.2">
      <c r="A28" s="9" t="s">
        <v>88</v>
      </c>
      <c r="B28" s="9">
        <v>4</v>
      </c>
      <c r="C28" s="9">
        <v>64</v>
      </c>
      <c r="D28" s="8">
        <v>2</v>
      </c>
      <c r="E28" s="8">
        <f>B28*C28*D28</f>
        <v>512</v>
      </c>
      <c r="F28" s="5"/>
      <c r="G28" s="8" t="s">
        <v>62</v>
      </c>
      <c r="H28" s="8">
        <v>0</v>
      </c>
      <c r="I28" s="8">
        <v>512</v>
      </c>
      <c r="J28" s="8">
        <v>512</v>
      </c>
      <c r="K28" s="8">
        <v>0</v>
      </c>
      <c r="L28" s="8">
        <v>512</v>
      </c>
      <c r="M28" s="13" t="s">
        <v>113</v>
      </c>
      <c r="N28" s="4"/>
      <c r="O28" s="134"/>
      <c r="P28" s="23" t="s">
        <v>122</v>
      </c>
      <c r="Q28" s="9">
        <v>4</v>
      </c>
      <c r="R28" s="9">
        <v>38</v>
      </c>
      <c r="S28" s="12">
        <v>4</v>
      </c>
      <c r="T28" s="8">
        <f t="shared" si="3"/>
        <v>608</v>
      </c>
      <c r="U28" s="122"/>
    </row>
    <row r="29" spans="1:21" x14ac:dyDescent="0.2">
      <c r="A29" s="8"/>
      <c r="B29" s="8"/>
      <c r="C29" s="8"/>
      <c r="D29" s="8"/>
      <c r="E29" s="8">
        <v>2048</v>
      </c>
      <c r="F29" s="5"/>
      <c r="G29" s="5"/>
      <c r="H29" s="5"/>
      <c r="I29" s="5"/>
      <c r="J29" s="5"/>
      <c r="K29" s="5"/>
      <c r="L29" s="5"/>
      <c r="M29" s="5"/>
      <c r="N29" s="4"/>
      <c r="O29" s="133"/>
      <c r="P29" s="23" t="s">
        <v>123</v>
      </c>
      <c r="Q29" s="9">
        <v>1</v>
      </c>
      <c r="R29" s="8">
        <v>140</v>
      </c>
      <c r="S29" s="8">
        <v>2</v>
      </c>
      <c r="T29" s="8">
        <f t="shared" si="3"/>
        <v>280</v>
      </c>
      <c r="U29" s="123"/>
    </row>
    <row r="30" spans="1:2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">
      <c r="A31" s="19" t="s">
        <v>93</v>
      </c>
      <c r="B31" s="20" t="s">
        <v>55</v>
      </c>
      <c r="C31" s="20" t="s">
        <v>104</v>
      </c>
      <c r="D31" s="19" t="s">
        <v>77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">
      <c r="A32" s="22" t="s">
        <v>114</v>
      </c>
      <c r="B32" s="20">
        <v>64</v>
      </c>
      <c r="C32" s="21">
        <v>2</v>
      </c>
      <c r="D32" s="19">
        <v>2</v>
      </c>
      <c r="E32" s="8">
        <f>B32*C32*D32</f>
        <v>256</v>
      </c>
      <c r="F32" s="4"/>
      <c r="G32" s="10" t="s">
        <v>76</v>
      </c>
      <c r="H32" s="8" t="s">
        <v>79</v>
      </c>
      <c r="I32" s="11" t="s">
        <v>55</v>
      </c>
      <c r="J32" s="9" t="s">
        <v>56</v>
      </c>
      <c r="K32" s="8" t="s">
        <v>77</v>
      </c>
      <c r="L32" s="8" t="s">
        <v>80</v>
      </c>
      <c r="M32" s="8" t="s">
        <v>78</v>
      </c>
      <c r="N32" s="4"/>
      <c r="O32" s="4"/>
      <c r="P32" s="4"/>
      <c r="Q32" s="4"/>
      <c r="R32" s="4"/>
      <c r="S32" s="4"/>
      <c r="T32" s="4"/>
      <c r="U32" s="4"/>
    </row>
    <row r="33" spans="1:21" x14ac:dyDescent="0.2">
      <c r="A33" s="22" t="s">
        <v>115</v>
      </c>
      <c r="B33" s="20">
        <v>16</v>
      </c>
      <c r="C33" s="19">
        <v>4</v>
      </c>
      <c r="D33" s="19">
        <v>2</v>
      </c>
      <c r="E33" s="8">
        <f>B33*C33*D33</f>
        <v>128</v>
      </c>
      <c r="F33" s="4"/>
      <c r="G33" s="145" t="s">
        <v>81</v>
      </c>
      <c r="H33" s="24" t="s">
        <v>637</v>
      </c>
      <c r="I33" s="9">
        <v>64</v>
      </c>
      <c r="J33" s="9">
        <v>8</v>
      </c>
      <c r="K33" s="8">
        <v>3</v>
      </c>
      <c r="L33" s="8">
        <f>I33*J33*K33</f>
        <v>1536</v>
      </c>
      <c r="M33" s="121">
        <f>L33+L34</f>
        <v>1536</v>
      </c>
      <c r="N33" s="4"/>
      <c r="O33" s="4"/>
      <c r="P33" s="4"/>
      <c r="Q33" s="4"/>
      <c r="R33" s="4"/>
      <c r="S33" s="4"/>
      <c r="T33" s="4"/>
      <c r="U33" s="4"/>
    </row>
    <row r="34" spans="1:21" x14ac:dyDescent="0.2">
      <c r="A34" s="22" t="s">
        <v>116</v>
      </c>
      <c r="B34" s="20">
        <v>4</v>
      </c>
      <c r="C34" s="19">
        <v>16</v>
      </c>
      <c r="D34" s="19">
        <v>2</v>
      </c>
      <c r="E34" s="8">
        <f>B34*C34*D34</f>
        <v>128</v>
      </c>
      <c r="F34" s="4"/>
      <c r="G34" s="146"/>
      <c r="H34" s="23"/>
      <c r="I34" s="9"/>
      <c r="J34" s="9"/>
      <c r="K34" s="8"/>
      <c r="L34" s="8"/>
      <c r="M34" s="123"/>
      <c r="N34" s="4"/>
      <c r="O34" s="4"/>
      <c r="P34" s="4"/>
      <c r="Q34" s="4"/>
      <c r="R34" s="4"/>
      <c r="S34" s="4"/>
      <c r="T34" s="4"/>
      <c r="U34" s="4"/>
    </row>
    <row r="35" spans="1:21" x14ac:dyDescent="0.2">
      <c r="A35" s="22" t="s">
        <v>117</v>
      </c>
      <c r="B35" s="20">
        <v>1</v>
      </c>
      <c r="C35" s="19">
        <v>64</v>
      </c>
      <c r="D35" s="19">
        <v>2</v>
      </c>
      <c r="E35" s="8">
        <f>B35*C35*D35</f>
        <v>128</v>
      </c>
      <c r="F35" s="4"/>
      <c r="G35" s="146"/>
      <c r="H35" s="23" t="s">
        <v>638</v>
      </c>
      <c r="I35" s="9">
        <v>16</v>
      </c>
      <c r="J35" s="9">
        <v>23</v>
      </c>
      <c r="K35" s="8">
        <v>3</v>
      </c>
      <c r="L35" s="8">
        <f t="shared" ref="L35:L37" si="4">I35*J35*K35</f>
        <v>1104</v>
      </c>
      <c r="M35" s="121">
        <f>L35+L36+L37</f>
        <v>1728</v>
      </c>
      <c r="N35" s="4"/>
      <c r="O35" s="4"/>
      <c r="P35" s="4"/>
      <c r="Q35" s="4"/>
      <c r="R35" s="4"/>
      <c r="S35" s="4"/>
      <c r="T35" s="4"/>
      <c r="U35" s="4"/>
    </row>
    <row r="36" spans="1:21" x14ac:dyDescent="0.2">
      <c r="A36" s="19"/>
      <c r="B36" s="19"/>
      <c r="C36" s="19"/>
      <c r="D36" s="19"/>
      <c r="E36" s="19">
        <v>640</v>
      </c>
      <c r="F36" s="4"/>
      <c r="G36" s="146"/>
      <c r="H36" s="23" t="s">
        <v>296</v>
      </c>
      <c r="I36" s="9">
        <v>4</v>
      </c>
      <c r="J36" s="9">
        <v>78</v>
      </c>
      <c r="K36" s="12">
        <v>2</v>
      </c>
      <c r="L36" s="8">
        <f t="shared" si="4"/>
        <v>624</v>
      </c>
      <c r="M36" s="122"/>
      <c r="N36" s="4"/>
      <c r="O36" s="4"/>
      <c r="P36" s="4"/>
      <c r="Q36" s="4"/>
      <c r="R36" s="4"/>
      <c r="S36" s="4"/>
      <c r="T36" s="4"/>
      <c r="U36" s="4"/>
    </row>
    <row r="37" spans="1:21" x14ac:dyDescent="0.2">
      <c r="A37" s="4"/>
      <c r="B37" s="4"/>
      <c r="C37" s="4"/>
      <c r="D37" s="4"/>
      <c r="E37" s="4"/>
      <c r="F37" s="4"/>
      <c r="G37" s="147"/>
      <c r="H37" s="23" t="s">
        <v>639</v>
      </c>
      <c r="I37" s="9">
        <v>4</v>
      </c>
      <c r="J37" s="9">
        <v>78</v>
      </c>
      <c r="K37" s="8">
        <v>0</v>
      </c>
      <c r="L37" s="8">
        <f t="shared" si="4"/>
        <v>0</v>
      </c>
      <c r="M37" s="123"/>
      <c r="N37" s="4"/>
      <c r="O37" s="4"/>
      <c r="P37" s="4"/>
      <c r="Q37" s="4"/>
      <c r="R37" s="4"/>
      <c r="S37" s="4"/>
      <c r="T37" s="4"/>
      <c r="U37" s="4"/>
    </row>
    <row r="38" spans="1:21" x14ac:dyDescent="0.2">
      <c r="A38" s="33" t="s">
        <v>168</v>
      </c>
      <c r="B38" s="34"/>
      <c r="C38" s="34"/>
      <c r="D38" s="34"/>
      <c r="E38" s="3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">
      <c r="A39" s="39" t="s">
        <v>156</v>
      </c>
      <c r="B39" s="35" t="s">
        <v>169</v>
      </c>
      <c r="C39" s="35" t="s">
        <v>170</v>
      </c>
      <c r="D39" s="35" t="s">
        <v>171</v>
      </c>
      <c r="E39" s="35" t="s">
        <v>172</v>
      </c>
      <c r="F39" s="2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">
      <c r="A40" s="31" t="s">
        <v>166</v>
      </c>
      <c r="B40" s="32">
        <v>128</v>
      </c>
      <c r="C40" s="36">
        <v>1</v>
      </c>
      <c r="D40" s="30">
        <v>4</v>
      </c>
      <c r="E40" s="30">
        <f>B40*C40*D40</f>
        <v>512</v>
      </c>
      <c r="F40" s="2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">
      <c r="A41" s="35" t="s">
        <v>174</v>
      </c>
      <c r="B41" s="30">
        <v>256</v>
      </c>
      <c r="C41" s="30">
        <v>1</v>
      </c>
      <c r="D41" s="30">
        <v>4</v>
      </c>
      <c r="E41" s="30">
        <f>B41*C41*D41</f>
        <v>1024</v>
      </c>
      <c r="F41" s="2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">
      <c r="A42" s="35" t="s">
        <v>173</v>
      </c>
      <c r="B42" s="30"/>
      <c r="C42" s="30"/>
      <c r="D42" s="30"/>
      <c r="E42" s="39">
        <f>SUM(E40:E41)</f>
        <v>1536</v>
      </c>
      <c r="F42" s="2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">
      <c r="A43" s="37"/>
      <c r="B43" s="37"/>
      <c r="C43" s="37"/>
      <c r="D43" s="37"/>
      <c r="E43" s="3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">
      <c r="A44" s="39" t="s">
        <v>157</v>
      </c>
      <c r="B44" s="35"/>
      <c r="C44" s="35"/>
      <c r="D44" s="35"/>
      <c r="E44" s="35"/>
      <c r="F44" s="2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">
      <c r="A45" s="31" t="s">
        <v>158</v>
      </c>
      <c r="B45" s="32">
        <v>64</v>
      </c>
      <c r="C45" s="36">
        <v>4</v>
      </c>
      <c r="D45" s="30">
        <v>4</v>
      </c>
      <c r="E45" s="30">
        <f>B45*C45*D45</f>
        <v>1024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">
      <c r="A46" s="35" t="s">
        <v>165</v>
      </c>
      <c r="B46" s="30">
        <v>32</v>
      </c>
      <c r="C46" s="30">
        <v>4</v>
      </c>
      <c r="D46" s="30">
        <v>2</v>
      </c>
      <c r="E46" s="30">
        <f>B46*C46*D46</f>
        <v>256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">
      <c r="A47" s="35" t="s">
        <v>173</v>
      </c>
      <c r="B47" s="30"/>
      <c r="C47" s="30"/>
      <c r="D47" s="30"/>
      <c r="E47" s="39">
        <f>SUM(E45:E46)</f>
        <v>1280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">
      <c r="A48" s="34"/>
      <c r="B48" s="34"/>
      <c r="C48" s="34"/>
      <c r="D48" s="34"/>
      <c r="E48" s="3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">
      <c r="A49" s="39" t="s">
        <v>159</v>
      </c>
      <c r="B49" s="35"/>
      <c r="C49" s="35"/>
      <c r="D49" s="35"/>
      <c r="E49" s="35"/>
      <c r="F49" s="2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">
      <c r="A50" s="31" t="s">
        <v>163</v>
      </c>
      <c r="B50" s="32">
        <v>16</v>
      </c>
      <c r="C50" s="36">
        <v>16</v>
      </c>
      <c r="D50" s="30">
        <v>2</v>
      </c>
      <c r="E50" s="30">
        <f>B50*C50*D50</f>
        <v>512</v>
      </c>
      <c r="F50" s="2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">
      <c r="A51" s="35" t="s">
        <v>164</v>
      </c>
      <c r="B51" s="30">
        <v>4</v>
      </c>
      <c r="C51" s="30">
        <v>16</v>
      </c>
      <c r="D51" s="30">
        <v>2</v>
      </c>
      <c r="E51" s="30">
        <f>B51*C51*D51</f>
        <v>128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">
      <c r="A52" s="35" t="s">
        <v>167</v>
      </c>
      <c r="B52" s="30">
        <v>4</v>
      </c>
      <c r="C52" s="30">
        <v>16</v>
      </c>
      <c r="D52" s="30">
        <v>2</v>
      </c>
      <c r="E52" s="39">
        <f>B52*C52*D52</f>
        <v>128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">
      <c r="A53" s="35" t="s">
        <v>173</v>
      </c>
      <c r="B53" s="35"/>
      <c r="C53" s="35"/>
      <c r="D53" s="35"/>
      <c r="E53" s="35">
        <f>SUM(E50:E52)</f>
        <v>768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">
      <c r="A55" s="39" t="s">
        <v>160</v>
      </c>
      <c r="B55" s="35"/>
      <c r="C55" s="35"/>
      <c r="D55" s="35"/>
      <c r="E55" s="3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">
      <c r="A56" s="31" t="s">
        <v>161</v>
      </c>
      <c r="B56" s="32">
        <v>4</v>
      </c>
      <c r="C56" s="36">
        <v>72</v>
      </c>
      <c r="D56" s="30">
        <v>2</v>
      </c>
      <c r="E56" s="30">
        <f>B56*C56*D56</f>
        <v>576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">
      <c r="A57" s="35" t="s">
        <v>162</v>
      </c>
      <c r="B57" s="30">
        <v>4</v>
      </c>
      <c r="C57" s="30">
        <v>72</v>
      </c>
      <c r="D57" s="30">
        <v>2</v>
      </c>
      <c r="E57" s="30">
        <f>B57*C57*D57</f>
        <v>576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">
      <c r="A58" s="35" t="s">
        <v>173</v>
      </c>
      <c r="B58" s="30"/>
      <c r="C58" s="30"/>
      <c r="D58" s="30"/>
      <c r="E58" s="39">
        <f>SUM(E56:E57)</f>
        <v>1152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">
      <c r="A60" s="28"/>
      <c r="B60" s="28"/>
      <c r="C60" s="28"/>
      <c r="D60" s="28"/>
      <c r="E60" s="28"/>
      <c r="F60" s="28"/>
      <c r="G60" s="28"/>
      <c r="H60" s="28"/>
      <c r="I60" s="28"/>
      <c r="J60" s="4"/>
      <c r="K60" s="28"/>
      <c r="L60" s="28"/>
      <c r="M60" s="28"/>
      <c r="N60" s="28"/>
      <c r="O60" s="28"/>
      <c r="P60" s="28"/>
      <c r="Q60" s="28"/>
      <c r="R60" s="28"/>
      <c r="S60" s="4"/>
      <c r="T60" s="4"/>
      <c r="U60" s="4"/>
    </row>
    <row r="61" spans="1:2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2">
      <c r="A62" s="28"/>
      <c r="B62" s="28"/>
      <c r="C62" s="28"/>
      <c r="D62" s="28"/>
      <c r="E62" s="28"/>
      <c r="F62" s="28"/>
      <c r="G62" s="28"/>
      <c r="H62" s="28"/>
      <c r="I62" s="28"/>
      <c r="J62" s="4"/>
      <c r="K62" s="28"/>
      <c r="L62" s="28"/>
      <c r="M62" s="28"/>
      <c r="N62" s="28"/>
      <c r="O62" s="28"/>
      <c r="P62" s="28"/>
      <c r="Q62" s="28"/>
      <c r="R62" s="28"/>
      <c r="S62" s="4"/>
      <c r="T62" s="4"/>
      <c r="U62" s="4"/>
    </row>
    <row r="63" spans="1:2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">
      <c r="A64" s="28"/>
      <c r="B64" s="28"/>
      <c r="C64" s="28"/>
      <c r="D64" s="28"/>
      <c r="E64" s="28"/>
      <c r="F64" s="28"/>
      <c r="G64" s="28"/>
      <c r="H64" s="28"/>
      <c r="I64" s="28"/>
      <c r="J64" s="4"/>
      <c r="K64" s="28"/>
      <c r="L64" s="28"/>
      <c r="M64" s="28"/>
      <c r="N64" s="28"/>
      <c r="O64" s="28"/>
      <c r="P64" s="28"/>
      <c r="Q64" s="28"/>
      <c r="R64" s="28"/>
      <c r="S64" s="4"/>
      <c r="T64" s="4"/>
      <c r="U64" s="4"/>
    </row>
    <row r="65" spans="1:2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">
      <c r="A66" s="28"/>
      <c r="B66" s="28"/>
      <c r="C66" s="28"/>
      <c r="D66" s="28"/>
      <c r="E66" s="28"/>
      <c r="F66" s="28"/>
      <c r="G66" s="28"/>
      <c r="H66" s="28"/>
      <c r="I66" s="28"/>
      <c r="J66" s="4"/>
      <c r="K66" s="28"/>
      <c r="L66" s="28"/>
      <c r="M66" s="28"/>
      <c r="N66" s="28"/>
      <c r="O66" s="28"/>
      <c r="P66" s="28"/>
      <c r="Q66" s="28"/>
      <c r="R66" s="28"/>
      <c r="S66" s="4"/>
      <c r="T66" s="4"/>
      <c r="U66" s="4"/>
    </row>
    <row r="67" spans="1:2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">
      <c r="A68" s="28"/>
      <c r="B68" s="28"/>
      <c r="C68" s="28"/>
      <c r="D68" s="28"/>
      <c r="E68" s="28"/>
      <c r="F68" s="28"/>
      <c r="G68" s="28"/>
      <c r="H68" s="28"/>
      <c r="I68" s="28"/>
      <c r="J68" s="4"/>
      <c r="K68" s="28"/>
      <c r="L68" s="28"/>
      <c r="M68" s="28"/>
      <c r="N68" s="28"/>
      <c r="O68" s="28"/>
      <c r="P68" s="28"/>
      <c r="Q68" s="28"/>
      <c r="R68" s="28"/>
      <c r="S68" s="4"/>
      <c r="T68" s="4"/>
      <c r="U68" s="4"/>
    </row>
    <row r="69" spans="1:2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2">
      <c r="A70" s="28"/>
      <c r="B70" s="28"/>
      <c r="C70" s="28"/>
      <c r="D70" s="28"/>
      <c r="E70" s="28"/>
      <c r="F70" s="28"/>
      <c r="G70" s="28"/>
      <c r="H70" s="28"/>
      <c r="I70" s="28"/>
      <c r="J70" s="4"/>
      <c r="K70" s="28"/>
      <c r="L70" s="28"/>
      <c r="M70" s="28"/>
      <c r="N70" s="28"/>
      <c r="O70" s="28"/>
      <c r="P70" s="28"/>
      <c r="Q70" s="28"/>
      <c r="R70" s="28"/>
      <c r="S70" s="4"/>
      <c r="T70" s="4"/>
      <c r="U70" s="4"/>
    </row>
    <row r="71" spans="1:2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">
      <c r="A72" s="28"/>
      <c r="B72" s="28"/>
      <c r="C72" s="28"/>
      <c r="D72" s="28"/>
      <c r="E72" s="28"/>
      <c r="F72" s="28"/>
      <c r="G72" s="28"/>
      <c r="H72" s="28"/>
      <c r="I72" s="28"/>
      <c r="J72" s="4"/>
      <c r="K72" s="28"/>
      <c r="L72" s="28"/>
      <c r="M72" s="28"/>
      <c r="N72" s="28"/>
      <c r="O72" s="28"/>
      <c r="P72" s="28"/>
      <c r="Q72" s="28"/>
      <c r="R72" s="28"/>
      <c r="S72" s="4"/>
      <c r="T72" s="4"/>
      <c r="U72" s="4"/>
    </row>
    <row r="73" spans="1:2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">
      <c r="A74" s="28"/>
      <c r="B74" s="28"/>
      <c r="C74" s="28"/>
      <c r="D74" s="28"/>
      <c r="E74" s="28"/>
      <c r="F74" s="28"/>
      <c r="G74" s="28"/>
      <c r="H74" s="28"/>
      <c r="I74" s="28"/>
      <c r="J74" s="4"/>
      <c r="K74" s="28"/>
      <c r="L74" s="28"/>
      <c r="M74" s="28"/>
      <c r="N74" s="28"/>
      <c r="O74" s="28"/>
      <c r="P74" s="28"/>
      <c r="Q74" s="28"/>
      <c r="R74" s="28"/>
      <c r="S74" s="4"/>
      <c r="T74" s="4"/>
      <c r="U74" s="4"/>
    </row>
    <row r="75" spans="1:21" x14ac:dyDescent="0.2">
      <c r="A75" s="137" t="s">
        <v>195</v>
      </c>
      <c r="B75" s="137"/>
      <c r="C75" s="137"/>
      <c r="D75" s="137"/>
      <c r="E75" s="137"/>
      <c r="F75" s="137"/>
      <c r="G75" s="137"/>
      <c r="H75" s="137"/>
      <c r="I75" s="137"/>
      <c r="J75" s="79"/>
      <c r="K75" s="137" t="s">
        <v>196</v>
      </c>
      <c r="L75" s="137"/>
      <c r="M75" s="137"/>
      <c r="N75" s="137"/>
      <c r="O75" s="137"/>
      <c r="P75" s="137"/>
      <c r="Q75" s="137"/>
      <c r="R75" s="137"/>
      <c r="S75" s="27"/>
      <c r="T75" s="4"/>
      <c r="U75" s="4"/>
    </row>
    <row r="76" spans="1:21" x14ac:dyDescent="0.2">
      <c r="A76" t="s">
        <v>16</v>
      </c>
      <c r="B76" t="s">
        <v>17</v>
      </c>
      <c r="C76" t="s">
        <v>18</v>
      </c>
      <c r="G76" t="s">
        <v>192</v>
      </c>
      <c r="H76" t="s">
        <v>15</v>
      </c>
      <c r="I76" t="s">
        <v>14</v>
      </c>
      <c r="K76" t="s">
        <v>16</v>
      </c>
      <c r="L76" t="s">
        <v>17</v>
      </c>
      <c r="M76" t="s">
        <v>18</v>
      </c>
      <c r="P76" t="s">
        <v>201</v>
      </c>
      <c r="Q76" t="s">
        <v>15</v>
      </c>
      <c r="R76" t="s">
        <v>14</v>
      </c>
    </row>
    <row r="77" spans="1:21" x14ac:dyDescent="0.2">
      <c r="A77">
        <v>1</v>
      </c>
      <c r="B77">
        <v>1</v>
      </c>
      <c r="C77">
        <v>1</v>
      </c>
      <c r="G77">
        <v>0</v>
      </c>
      <c r="H77">
        <v>19</v>
      </c>
      <c r="I77">
        <v>0</v>
      </c>
      <c r="K77">
        <v>1</v>
      </c>
      <c r="L77">
        <v>1</v>
      </c>
      <c r="M77">
        <v>3</v>
      </c>
    </row>
    <row r="78" spans="1:21" x14ac:dyDescent="0.2">
      <c r="A78" t="s">
        <v>19</v>
      </c>
      <c r="B78" t="s">
        <v>20</v>
      </c>
      <c r="C78" t="s">
        <v>21</v>
      </c>
      <c r="D78" s="4"/>
      <c r="E78" s="4"/>
      <c r="F78" s="4"/>
      <c r="G78" t="s">
        <v>194</v>
      </c>
      <c r="H78" t="s">
        <v>15</v>
      </c>
      <c r="I78" t="s">
        <v>14</v>
      </c>
      <c r="J78" s="4"/>
      <c r="K78" t="s">
        <v>19</v>
      </c>
      <c r="L78" t="s">
        <v>20</v>
      </c>
      <c r="M78" t="s">
        <v>21</v>
      </c>
      <c r="N78" s="4"/>
      <c r="O78" s="4"/>
      <c r="P78" t="s">
        <v>192</v>
      </c>
      <c r="Q78" t="s">
        <v>15</v>
      </c>
      <c r="R78" t="s">
        <v>14</v>
      </c>
      <c r="S78" s="4"/>
      <c r="T78" s="4"/>
      <c r="U78" s="4"/>
    </row>
    <row r="79" spans="1:21" x14ac:dyDescent="0.2">
      <c r="A79">
        <v>1</v>
      </c>
      <c r="B79">
        <v>1</v>
      </c>
      <c r="C79">
        <v>4</v>
      </c>
      <c r="D79" s="4"/>
      <c r="E79" s="4"/>
      <c r="F79" s="4"/>
      <c r="G79">
        <v>0</v>
      </c>
      <c r="H79">
        <v>12</v>
      </c>
      <c r="I79">
        <v>0</v>
      </c>
      <c r="J79" s="4"/>
      <c r="K79">
        <v>0</v>
      </c>
      <c r="L79">
        <v>0</v>
      </c>
      <c r="M79">
        <v>0</v>
      </c>
      <c r="N79" s="4"/>
      <c r="O79" s="4"/>
      <c r="P79">
        <v>0</v>
      </c>
      <c r="Q79">
        <v>12</v>
      </c>
      <c r="R79">
        <v>0</v>
      </c>
      <c r="S79" s="4"/>
      <c r="T79" s="4"/>
      <c r="U79" s="4"/>
    </row>
    <row r="80" spans="1:21" x14ac:dyDescent="0.2">
      <c r="A80" t="s">
        <v>191</v>
      </c>
      <c r="B80" t="s">
        <v>26</v>
      </c>
      <c r="C80" t="s">
        <v>27</v>
      </c>
      <c r="D80" t="s">
        <v>28</v>
      </c>
      <c r="E80" s="4"/>
      <c r="F80" s="4"/>
      <c r="G80" s="4"/>
      <c r="H80" s="4"/>
      <c r="I80" s="4"/>
      <c r="J80" s="4"/>
      <c r="K80" t="s">
        <v>191</v>
      </c>
      <c r="L80" t="s">
        <v>26</v>
      </c>
      <c r="M80" t="s">
        <v>27</v>
      </c>
      <c r="N80" t="s">
        <v>28</v>
      </c>
      <c r="O80" s="4"/>
      <c r="P80" t="s">
        <v>194</v>
      </c>
      <c r="Q80" t="s">
        <v>15</v>
      </c>
      <c r="R80" t="s">
        <v>14</v>
      </c>
      <c r="S80" s="4"/>
      <c r="T80" s="4"/>
      <c r="U80" s="4"/>
    </row>
    <row r="81" spans="1:21" x14ac:dyDescent="0.2">
      <c r="A81">
        <v>2</v>
      </c>
      <c r="B81">
        <v>78</v>
      </c>
      <c r="C81">
        <v>8</v>
      </c>
      <c r="D81">
        <v>64</v>
      </c>
      <c r="E81" s="26" t="s">
        <v>541</v>
      </c>
      <c r="F81" s="4"/>
      <c r="G81" s="4"/>
      <c r="H81" s="4"/>
      <c r="I81" s="4"/>
      <c r="J81" s="4"/>
      <c r="O81" s="4"/>
      <c r="P81">
        <v>0</v>
      </c>
      <c r="Q81">
        <v>12</v>
      </c>
      <c r="R81">
        <v>0</v>
      </c>
      <c r="S81" s="4"/>
      <c r="T81" s="4"/>
      <c r="U81" s="4"/>
    </row>
    <row r="82" spans="1:21" x14ac:dyDescent="0.2">
      <c r="A82" t="s">
        <v>191</v>
      </c>
      <c r="B82" t="s">
        <v>23</v>
      </c>
      <c r="C82" t="s">
        <v>24</v>
      </c>
      <c r="D82" t="s">
        <v>25</v>
      </c>
      <c r="E82" s="4"/>
      <c r="F82" s="4"/>
      <c r="G82" s="4"/>
      <c r="H82" s="4"/>
      <c r="I82" s="4"/>
      <c r="J82" s="4"/>
      <c r="K82" t="s">
        <v>191</v>
      </c>
      <c r="L82" t="s">
        <v>23</v>
      </c>
      <c r="M82" t="s">
        <v>24</v>
      </c>
      <c r="N82" t="s">
        <v>25</v>
      </c>
      <c r="O82" s="4"/>
      <c r="P82" s="138" t="s">
        <v>229</v>
      </c>
      <c r="Q82" s="139"/>
      <c r="R82" s="140"/>
      <c r="S82" s="4"/>
      <c r="T82" s="4"/>
      <c r="U82" s="4"/>
    </row>
    <row r="83" spans="1:21" x14ac:dyDescent="0.2">
      <c r="A83">
        <v>2</v>
      </c>
      <c r="B83">
        <v>23</v>
      </c>
      <c r="C83">
        <v>-8</v>
      </c>
      <c r="D83">
        <v>16</v>
      </c>
      <c r="E83" s="4"/>
      <c r="F83" s="4"/>
      <c r="G83" s="4"/>
      <c r="H83" s="4"/>
      <c r="I83" s="4"/>
      <c r="J83" s="4"/>
      <c r="K83">
        <v>2</v>
      </c>
      <c r="L83">
        <v>44</v>
      </c>
      <c r="M83">
        <v>-22</v>
      </c>
      <c r="N83">
        <v>32</v>
      </c>
      <c r="O83" s="4"/>
      <c r="P83" t="s">
        <v>201</v>
      </c>
      <c r="Q83" t="s">
        <v>15</v>
      </c>
      <c r="R83" t="s">
        <v>14</v>
      </c>
      <c r="S83" s="4"/>
      <c r="T83" s="4"/>
      <c r="U83" s="4"/>
    </row>
    <row r="84" spans="1:21" x14ac:dyDescent="0.2">
      <c r="A84" t="s">
        <v>191</v>
      </c>
      <c r="B84" t="s">
        <v>11</v>
      </c>
      <c r="C84" t="s">
        <v>12</v>
      </c>
      <c r="D84" t="s">
        <v>13</v>
      </c>
      <c r="E84" s="4"/>
      <c r="F84" s="4"/>
      <c r="G84" s="4"/>
      <c r="H84" s="4"/>
      <c r="I84" s="4"/>
      <c r="J84" s="4"/>
      <c r="K84" t="s">
        <v>191</v>
      </c>
      <c r="L84" t="s">
        <v>11</v>
      </c>
      <c r="M84" t="s">
        <v>12</v>
      </c>
      <c r="N84" t="s">
        <v>13</v>
      </c>
      <c r="O84" s="4"/>
      <c r="S84" s="4"/>
      <c r="T84" s="4"/>
      <c r="U84" s="4"/>
    </row>
    <row r="85" spans="1:21" x14ac:dyDescent="0.2">
      <c r="A85">
        <v>2</v>
      </c>
      <c r="B85">
        <v>8</v>
      </c>
      <c r="C85">
        <v>4</v>
      </c>
      <c r="D85">
        <v>4</v>
      </c>
      <c r="E85" s="4"/>
      <c r="F85" s="4"/>
      <c r="G85" s="4"/>
      <c r="H85" s="4"/>
      <c r="I85" s="4"/>
      <c r="J85" s="4"/>
      <c r="K85">
        <v>2</v>
      </c>
      <c r="L85">
        <v>13</v>
      </c>
      <c r="M85">
        <v>8</v>
      </c>
      <c r="N85">
        <v>4</v>
      </c>
      <c r="O85" s="4"/>
      <c r="P85" t="s">
        <v>192</v>
      </c>
      <c r="Q85" t="s">
        <v>15</v>
      </c>
      <c r="R85" t="s">
        <v>14</v>
      </c>
      <c r="S85" s="4"/>
      <c r="T85" s="4"/>
      <c r="U85" s="4"/>
    </row>
    <row r="86" spans="1:21" x14ac:dyDescent="0.2">
      <c r="A86" t="s">
        <v>193</v>
      </c>
      <c r="B86" t="s">
        <v>26</v>
      </c>
      <c r="C86" t="s">
        <v>27</v>
      </c>
      <c r="D86" t="s">
        <v>28</v>
      </c>
      <c r="E86" s="4"/>
      <c r="F86" s="4"/>
      <c r="G86" s="4"/>
      <c r="H86" s="4"/>
      <c r="I86" s="4"/>
      <c r="J86" s="4"/>
      <c r="K86" t="s">
        <v>191</v>
      </c>
      <c r="L86" t="s">
        <v>125</v>
      </c>
      <c r="M86" t="s">
        <v>126</v>
      </c>
      <c r="N86" t="s">
        <v>127</v>
      </c>
      <c r="O86" s="4"/>
      <c r="S86" s="4"/>
      <c r="T86" s="4"/>
      <c r="U86" s="4"/>
    </row>
    <row r="87" spans="1:21" x14ac:dyDescent="0.2">
      <c r="A87">
        <v>2</v>
      </c>
      <c r="B87">
        <v>88</v>
      </c>
      <c r="C87">
        <v>-80</v>
      </c>
      <c r="D87">
        <v>88</v>
      </c>
      <c r="E87" s="4"/>
      <c r="F87" s="4"/>
      <c r="G87" s="4"/>
      <c r="H87" s="4"/>
      <c r="I87" s="4"/>
      <c r="J87" s="4"/>
      <c r="O87" s="4"/>
      <c r="P87" t="s">
        <v>194</v>
      </c>
      <c r="Q87" t="s">
        <v>15</v>
      </c>
      <c r="R87" t="s">
        <v>14</v>
      </c>
      <c r="S87" s="4"/>
      <c r="T87" s="4"/>
      <c r="U87" s="4"/>
    </row>
    <row r="88" spans="1:21" x14ac:dyDescent="0.2">
      <c r="A88" t="s">
        <v>193</v>
      </c>
      <c r="B88" t="s">
        <v>23</v>
      </c>
      <c r="C88" t="s">
        <v>24</v>
      </c>
      <c r="D88" t="s">
        <v>25</v>
      </c>
      <c r="E88" s="4"/>
      <c r="F88" s="4"/>
      <c r="G88" s="4"/>
      <c r="H88" s="4"/>
      <c r="I88" s="4"/>
      <c r="J88" s="4"/>
      <c r="K88" t="s">
        <v>193</v>
      </c>
      <c r="L88" t="s">
        <v>23</v>
      </c>
      <c r="M88" t="s">
        <v>24</v>
      </c>
      <c r="N88" t="s">
        <v>25</v>
      </c>
      <c r="O88" s="4"/>
      <c r="P88">
        <v>0</v>
      </c>
      <c r="Q88">
        <v>12</v>
      </c>
      <c r="R88">
        <v>1</v>
      </c>
      <c r="S88" s="4"/>
      <c r="T88" s="4"/>
      <c r="U88" s="4"/>
    </row>
    <row r="89" spans="1:21" x14ac:dyDescent="0.2">
      <c r="A89">
        <v>2</v>
      </c>
      <c r="B89">
        <v>76</v>
      </c>
      <c r="C89">
        <v>-16</v>
      </c>
      <c r="D89">
        <v>32</v>
      </c>
      <c r="E89" s="4"/>
      <c r="F89" s="4"/>
      <c r="G89" s="4"/>
      <c r="H89" s="4"/>
      <c r="I89" s="4"/>
      <c r="J89" s="4"/>
      <c r="O89" s="4"/>
      <c r="P89" s="4"/>
      <c r="Q89" s="4"/>
      <c r="R89" s="4"/>
      <c r="S89" s="4"/>
      <c r="T89" s="4"/>
      <c r="U89" s="4"/>
    </row>
    <row r="90" spans="1:21" x14ac:dyDescent="0.2">
      <c r="A90" t="s">
        <v>193</v>
      </c>
      <c r="B90" t="s">
        <v>11</v>
      </c>
      <c r="C90" t="s">
        <v>12</v>
      </c>
      <c r="D90" t="s">
        <v>13</v>
      </c>
      <c r="E90" s="4"/>
      <c r="F90" s="4"/>
      <c r="G90" s="4"/>
      <c r="H90" s="4"/>
      <c r="I90" s="4"/>
      <c r="J90" s="4"/>
      <c r="K90" t="s">
        <v>193</v>
      </c>
      <c r="L90" t="s">
        <v>11</v>
      </c>
      <c r="M90" t="s">
        <v>12</v>
      </c>
      <c r="N90" t="s">
        <v>13</v>
      </c>
      <c r="O90" s="4"/>
      <c r="P90" s="4"/>
      <c r="Q90" s="4"/>
      <c r="R90" s="4"/>
      <c r="S90" s="4"/>
      <c r="T90" s="4"/>
      <c r="U90" s="4"/>
    </row>
    <row r="91" spans="1:21" x14ac:dyDescent="0.2">
      <c r="A91">
        <v>2</v>
      </c>
      <c r="B91">
        <v>22</v>
      </c>
      <c r="C91">
        <v>0</v>
      </c>
      <c r="D91">
        <v>10</v>
      </c>
      <c r="E91" s="4"/>
      <c r="F91" s="4"/>
      <c r="G91" s="4"/>
      <c r="H91" s="4"/>
      <c r="I91" s="4"/>
      <c r="J91" s="4"/>
      <c r="K91">
        <v>2</v>
      </c>
      <c r="L91">
        <v>26</v>
      </c>
      <c r="M91">
        <v>-8</v>
      </c>
      <c r="N91">
        <v>8</v>
      </c>
      <c r="O91" s="4"/>
      <c r="P91" s="4"/>
      <c r="Q91" s="4"/>
      <c r="R91" s="4"/>
      <c r="S91" s="4"/>
      <c r="T91" s="4"/>
      <c r="U91" s="4"/>
    </row>
    <row r="92" spans="1:21" x14ac:dyDescent="0.2">
      <c r="A92" t="s">
        <v>193</v>
      </c>
      <c r="B92" t="s">
        <v>125</v>
      </c>
      <c r="C92" t="s">
        <v>126</v>
      </c>
      <c r="D92" t="s">
        <v>127</v>
      </c>
      <c r="E92" s="4"/>
      <c r="F92" s="4"/>
      <c r="G92" s="4"/>
      <c r="H92" s="4"/>
      <c r="I92" s="4"/>
      <c r="J92" s="4"/>
      <c r="K92" t="s">
        <v>193</v>
      </c>
      <c r="L92" t="s">
        <v>125</v>
      </c>
      <c r="M92" t="s">
        <v>126</v>
      </c>
      <c r="N92" t="s">
        <v>127</v>
      </c>
      <c r="O92" s="4"/>
      <c r="P92" s="4"/>
      <c r="Q92" s="4"/>
      <c r="R92" s="4"/>
      <c r="S92" s="4"/>
      <c r="T92" s="4"/>
      <c r="U92" s="4"/>
    </row>
    <row r="93" spans="1:21" x14ac:dyDescent="0.2">
      <c r="A93">
        <v>2</v>
      </c>
      <c r="B93">
        <v>8</v>
      </c>
      <c r="C93">
        <v>2</v>
      </c>
      <c r="D93">
        <v>2</v>
      </c>
      <c r="E93" s="4"/>
      <c r="F93" s="4"/>
      <c r="G93" s="4"/>
      <c r="H93" s="4"/>
      <c r="I93" s="4"/>
      <c r="J93" s="4"/>
      <c r="K93">
        <v>2</v>
      </c>
      <c r="L93">
        <v>6</v>
      </c>
      <c r="M93">
        <v>8</v>
      </c>
      <c r="N93">
        <v>2</v>
      </c>
      <c r="O93" s="4"/>
      <c r="P93" s="4"/>
      <c r="Q93" s="4"/>
      <c r="R93" s="4"/>
      <c r="S93" s="4"/>
      <c r="T93" s="4"/>
      <c r="U93" s="4"/>
    </row>
    <row r="94" spans="1:2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4"/>
      <c r="O95" s="4"/>
      <c r="P95" s="4"/>
      <c r="Q95" s="4"/>
      <c r="R95" s="4"/>
      <c r="S95" s="4"/>
      <c r="T95" s="4"/>
      <c r="U95" s="4"/>
    </row>
    <row r="96" spans="1:21" x14ac:dyDescent="0.2">
      <c r="A96" s="6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4"/>
      <c r="O96" s="4"/>
      <c r="P96" s="4"/>
      <c r="Q96" s="4"/>
      <c r="R96" s="4"/>
      <c r="S96" s="4"/>
      <c r="T96" s="4"/>
      <c r="U96" s="4"/>
    </row>
    <row r="97" spans="1:21" x14ac:dyDescent="0.2">
      <c r="E97" s="28"/>
      <c r="F97" s="28"/>
      <c r="G97" s="28"/>
      <c r="H97" s="28"/>
      <c r="I97" s="28"/>
      <c r="J97" s="28"/>
      <c r="K97" s="28"/>
      <c r="L97" s="28"/>
      <c r="M97" s="28"/>
      <c r="N97" s="4"/>
      <c r="O97" s="4"/>
      <c r="P97" s="4"/>
      <c r="Q97" s="4"/>
      <c r="R97" s="4"/>
      <c r="S97" s="4"/>
      <c r="T97" s="4"/>
      <c r="U97" s="4"/>
    </row>
    <row r="98" spans="1:21" x14ac:dyDescent="0.2">
      <c r="E98" s="28"/>
      <c r="F98" s="28"/>
      <c r="G98" s="28"/>
      <c r="H98" s="28"/>
      <c r="I98" s="28"/>
      <c r="J98" s="28"/>
      <c r="K98" s="28"/>
      <c r="L98" s="28"/>
      <c r="M98" s="28"/>
      <c r="N98" s="4"/>
      <c r="O98" s="4"/>
      <c r="P98" s="4"/>
      <c r="Q98" s="4"/>
      <c r="R98" s="4"/>
      <c r="S98" s="4"/>
      <c r="T98" s="4"/>
      <c r="U98" s="4"/>
    </row>
    <row r="99" spans="1:21" x14ac:dyDescent="0.2">
      <c r="E99" s="28"/>
      <c r="F99" s="28"/>
      <c r="G99" s="28"/>
      <c r="H99" s="28"/>
      <c r="I99" s="28"/>
      <c r="J99" s="28"/>
      <c r="K99" s="28"/>
      <c r="L99" s="28"/>
      <c r="M99" s="28"/>
      <c r="N99" s="4"/>
      <c r="O99" s="4"/>
      <c r="P99" s="4"/>
      <c r="Q99" s="4"/>
      <c r="R99" s="4"/>
      <c r="S99" s="4"/>
      <c r="T99" s="4"/>
      <c r="U99" s="4"/>
    </row>
    <row r="100" spans="1:21" x14ac:dyDescent="0.2">
      <c r="E100" s="28"/>
      <c r="F100" s="28"/>
      <c r="G100" s="28"/>
      <c r="H100" s="28"/>
      <c r="I100" s="28"/>
      <c r="J100" s="28"/>
      <c r="K100" s="28"/>
      <c r="L100" s="28"/>
      <c r="M100" s="28"/>
      <c r="N100" s="4"/>
      <c r="O100" s="4"/>
      <c r="P100" s="4"/>
      <c r="Q100" s="4"/>
      <c r="R100" s="4"/>
      <c r="S100" s="4"/>
      <c r="T100" s="4"/>
      <c r="U100" s="4"/>
    </row>
    <row r="101" spans="1:21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4"/>
      <c r="O101" s="4"/>
      <c r="P101" s="4"/>
      <c r="Q101" s="4"/>
      <c r="R101" s="4"/>
      <c r="S101" s="4"/>
      <c r="T101" s="4"/>
      <c r="U101" s="4"/>
    </row>
    <row r="102" spans="1:21" x14ac:dyDescent="0.2">
      <c r="A102" s="135" t="s">
        <v>273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27"/>
      <c r="O102" s="4"/>
      <c r="P102" s="4"/>
      <c r="Q102" s="4"/>
      <c r="R102" s="4"/>
      <c r="S102" s="4"/>
      <c r="T102" s="4"/>
      <c r="U102" s="4"/>
    </row>
    <row r="103" spans="1:21" x14ac:dyDescent="0.2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27"/>
      <c r="O103" s="4"/>
      <c r="P103" s="4"/>
      <c r="Q103" s="4"/>
      <c r="R103" s="4"/>
      <c r="S103" s="4"/>
      <c r="T103" s="4"/>
      <c r="U103" s="4"/>
    </row>
    <row r="104" spans="1:21" x14ac:dyDescent="0.2">
      <c r="A104" s="48" t="s">
        <v>240</v>
      </c>
      <c r="B104" t="s">
        <v>242</v>
      </c>
      <c r="C104" s="48" t="s">
        <v>243</v>
      </c>
      <c r="D104" s="48" t="s">
        <v>248</v>
      </c>
      <c r="E104" s="29"/>
      <c r="F104" s="29"/>
      <c r="G104" s="29"/>
      <c r="H104" s="29"/>
      <c r="I104" s="29"/>
      <c r="J104" s="29"/>
      <c r="K104" s="29"/>
      <c r="L104" s="29"/>
      <c r="M104" s="29"/>
      <c r="N104" s="4"/>
      <c r="O104" s="4"/>
      <c r="P104" s="4"/>
      <c r="Q104" s="4"/>
      <c r="R104" s="4"/>
      <c r="S104" s="4"/>
      <c r="T104" s="4"/>
      <c r="U104" s="4"/>
    </row>
    <row r="105" spans="1:21" x14ac:dyDescent="0.2">
      <c r="A105" s="46" t="s">
        <v>245</v>
      </c>
      <c r="B105" s="45">
        <v>23</v>
      </c>
      <c r="C105" s="45">
        <v>48</v>
      </c>
      <c r="D105" s="45">
        <v>16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">
      <c r="A106" s="46" t="s">
        <v>246</v>
      </c>
      <c r="B106" s="46" t="s">
        <v>244</v>
      </c>
      <c r="C106" s="46" t="s">
        <v>247</v>
      </c>
      <c r="D106" s="45">
        <v>16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2">
      <c r="A107" s="38" t="s">
        <v>249</v>
      </c>
      <c r="B107" s="5">
        <v>23</v>
      </c>
      <c r="C107" s="5">
        <v>48</v>
      </c>
      <c r="D107" s="5">
        <v>16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">
      <c r="A108" s="46" t="s">
        <v>250</v>
      </c>
      <c r="B108" s="45">
        <v>11</v>
      </c>
      <c r="C108" s="45">
        <v>24</v>
      </c>
      <c r="D108" s="45">
        <v>8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">
      <c r="A109" s="46" t="s">
        <v>251</v>
      </c>
      <c r="B109" s="46" t="s">
        <v>254</v>
      </c>
      <c r="C109" s="46" t="s">
        <v>253</v>
      </c>
      <c r="D109" s="45">
        <v>8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2">
      <c r="A110" s="38" t="s">
        <v>252</v>
      </c>
      <c r="B110" s="45">
        <v>11</v>
      </c>
      <c r="C110" s="45">
        <v>24</v>
      </c>
      <c r="D110" s="45">
        <v>8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">
      <c r="A111" s="26" t="s">
        <v>255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2">
      <c r="A113" s="112" t="s">
        <v>636</v>
      </c>
      <c r="B113" s="26" t="s">
        <v>259</v>
      </c>
      <c r="C113" s="26" t="s">
        <v>265</v>
      </c>
      <c r="D113" s="26" t="s">
        <v>261</v>
      </c>
      <c r="E113" s="26" t="s">
        <v>262</v>
      </c>
      <c r="F113" s="26" t="s">
        <v>302</v>
      </c>
      <c r="G113" s="59" t="s">
        <v>570</v>
      </c>
      <c r="H113" s="26" t="s">
        <v>562</v>
      </c>
      <c r="I113" s="4"/>
      <c r="J113" s="26" t="s">
        <v>563</v>
      </c>
      <c r="K113" s="26" t="s">
        <v>564</v>
      </c>
      <c r="L113" s="26" t="s">
        <v>565</v>
      </c>
      <c r="M113" s="26" t="s">
        <v>571</v>
      </c>
      <c r="N113" s="26" t="s">
        <v>572</v>
      </c>
      <c r="O113" s="26" t="s">
        <v>585</v>
      </c>
      <c r="P113" s="26" t="s">
        <v>586</v>
      </c>
      <c r="Q113" s="4"/>
      <c r="R113" s="4"/>
      <c r="S113" s="4"/>
      <c r="T113" s="4"/>
      <c r="U113" s="4"/>
    </row>
    <row r="114" spans="1:21" x14ac:dyDescent="0.2">
      <c r="A114" s="26" t="s">
        <v>258</v>
      </c>
      <c r="B114" s="26">
        <f>112*112</f>
        <v>12544</v>
      </c>
      <c r="C114" s="49">
        <v>16</v>
      </c>
      <c r="D114" s="49">
        <v>4</v>
      </c>
      <c r="E114" s="49">
        <f>B114/C114/D114</f>
        <v>196</v>
      </c>
      <c r="F114" s="4">
        <v>2</v>
      </c>
      <c r="G114" s="90">
        <v>3000</v>
      </c>
      <c r="H114" s="4">
        <f>B114*F114*10</f>
        <v>250880</v>
      </c>
      <c r="I114" s="26" t="s">
        <v>303</v>
      </c>
      <c r="J114" s="4">
        <v>8</v>
      </c>
      <c r="K114" s="4">
        <v>16</v>
      </c>
      <c r="L114" s="4">
        <f>H114*2</f>
        <v>501760</v>
      </c>
      <c r="M114" s="4">
        <f>G114*J114</f>
        <v>24000</v>
      </c>
      <c r="N114" s="4">
        <f>G114*K114</f>
        <v>48000</v>
      </c>
      <c r="O114" s="4">
        <f>M114</f>
        <v>24000</v>
      </c>
      <c r="P114" s="4">
        <f>N114</f>
        <v>48000</v>
      </c>
      <c r="Q114" s="4"/>
      <c r="R114" s="4"/>
      <c r="S114" s="4"/>
      <c r="T114" s="4"/>
      <c r="U114" s="4"/>
    </row>
    <row r="115" spans="1:21" x14ac:dyDescent="0.2">
      <c r="A115" s="26" t="s">
        <v>263</v>
      </c>
      <c r="B115" s="4">
        <f>56*56*2</f>
        <v>6272</v>
      </c>
      <c r="C115" s="49">
        <v>8</v>
      </c>
      <c r="D115" s="49">
        <v>4</v>
      </c>
      <c r="E115" s="49">
        <f>B115/C115/D115</f>
        <v>196</v>
      </c>
      <c r="F115" s="4">
        <v>2</v>
      </c>
      <c r="G115" s="90">
        <v>1500</v>
      </c>
      <c r="H115" s="4">
        <f>B115*F115*10</f>
        <v>125440</v>
      </c>
      <c r="I115" s="26" t="s">
        <v>260</v>
      </c>
      <c r="J115" s="4">
        <v>8</v>
      </c>
      <c r="K115" s="4">
        <v>16</v>
      </c>
      <c r="L115" s="4">
        <f>H115*2</f>
        <v>250880</v>
      </c>
      <c r="M115" s="4">
        <f>G115*J115</f>
        <v>12000</v>
      </c>
      <c r="N115" s="4">
        <f>G115*K115</f>
        <v>24000</v>
      </c>
      <c r="O115" s="4">
        <f>M115*2</f>
        <v>24000</v>
      </c>
      <c r="P115" s="4">
        <f>N115*2</f>
        <v>48000</v>
      </c>
      <c r="Q115" s="4"/>
      <c r="R115" s="4"/>
      <c r="S115" s="4"/>
      <c r="T115" s="4"/>
      <c r="U115" s="4"/>
    </row>
    <row r="116" spans="1:21" x14ac:dyDescent="0.2">
      <c r="A116" s="4"/>
      <c r="B116" s="4"/>
      <c r="C116" s="4"/>
      <c r="D116" s="4"/>
      <c r="E116" s="4"/>
      <c r="F116" s="4"/>
      <c r="H116" s="26">
        <f>(H114+H115)/1000/8</f>
        <v>47.04</v>
      </c>
      <c r="I116" s="26" t="s">
        <v>566</v>
      </c>
      <c r="J116" s="4">
        <v>16</v>
      </c>
      <c r="K116" s="4">
        <v>32</v>
      </c>
      <c r="L116" s="4">
        <f>H116*2</f>
        <v>94.08</v>
      </c>
      <c r="M116" s="111">
        <f>(M114+M115)</f>
        <v>36000</v>
      </c>
      <c r="N116" s="111">
        <f>(N114+N115)</f>
        <v>72000</v>
      </c>
      <c r="O116" s="111">
        <f>(O114+O115)</f>
        <v>48000</v>
      </c>
      <c r="P116" s="111">
        <f>(P114+P115)</f>
        <v>96000</v>
      </c>
      <c r="Q116" s="4"/>
      <c r="R116" s="4"/>
      <c r="S116" s="4"/>
      <c r="T116" s="4"/>
      <c r="U116" s="4"/>
    </row>
    <row r="117" spans="1:21" x14ac:dyDescent="0.2">
      <c r="A117" s="112" t="s">
        <v>635</v>
      </c>
      <c r="B117" s="26" t="s">
        <v>259</v>
      </c>
      <c r="C117" s="26" t="s">
        <v>265</v>
      </c>
      <c r="D117" s="26" t="s">
        <v>261</v>
      </c>
      <c r="E117" s="26" t="s">
        <v>262</v>
      </c>
      <c r="F117" s="26" t="s">
        <v>302</v>
      </c>
      <c r="G117" s="59" t="s">
        <v>570</v>
      </c>
      <c r="H117" s="26" t="s">
        <v>562</v>
      </c>
      <c r="I117" s="4"/>
      <c r="J117" s="26" t="s">
        <v>563</v>
      </c>
      <c r="K117" s="26" t="s">
        <v>564</v>
      </c>
      <c r="L117" s="26" t="s">
        <v>565</v>
      </c>
      <c r="M117" s="26" t="s">
        <v>571</v>
      </c>
      <c r="N117" s="26" t="s">
        <v>572</v>
      </c>
      <c r="O117" s="26" t="s">
        <v>585</v>
      </c>
      <c r="P117" s="26" t="s">
        <v>586</v>
      </c>
      <c r="Q117" s="4"/>
      <c r="R117" s="4"/>
      <c r="S117" s="4"/>
      <c r="T117" s="4"/>
      <c r="U117" s="4"/>
    </row>
    <row r="118" spans="1:21" x14ac:dyDescent="0.2">
      <c r="A118" s="26" t="s">
        <v>258</v>
      </c>
      <c r="B118" s="26">
        <f>72*72</f>
        <v>5184</v>
      </c>
      <c r="C118" s="49">
        <v>16</v>
      </c>
      <c r="D118" s="49">
        <v>4</v>
      </c>
      <c r="E118" s="49">
        <v>90</v>
      </c>
      <c r="F118" s="4">
        <v>2</v>
      </c>
      <c r="G118" s="90">
        <v>2000</v>
      </c>
      <c r="H118" s="4">
        <f>B118*F118*10</f>
        <v>103680</v>
      </c>
      <c r="I118" s="26" t="s">
        <v>303</v>
      </c>
      <c r="J118" s="4">
        <v>8</v>
      </c>
      <c r="K118" s="4">
        <v>16</v>
      </c>
      <c r="L118" s="4">
        <f>H118*2</f>
        <v>207360</v>
      </c>
      <c r="M118" s="4">
        <f>G118*J118</f>
        <v>16000</v>
      </c>
      <c r="N118" s="4">
        <f>G118*K118</f>
        <v>32000</v>
      </c>
      <c r="O118" s="4">
        <f>M118</f>
        <v>16000</v>
      </c>
      <c r="P118" s="4">
        <f>N118</f>
        <v>32000</v>
      </c>
      <c r="Q118" s="4"/>
      <c r="R118" s="4"/>
      <c r="S118" s="4"/>
      <c r="T118" s="4"/>
      <c r="U118" s="4"/>
    </row>
    <row r="119" spans="1:21" x14ac:dyDescent="0.2">
      <c r="A119" s="26" t="s">
        <v>263</v>
      </c>
      <c r="B119" s="4">
        <f>36*36*2</f>
        <v>2592</v>
      </c>
      <c r="C119" s="49">
        <v>8</v>
      </c>
      <c r="D119" s="49">
        <v>4</v>
      </c>
      <c r="E119" s="49">
        <v>90</v>
      </c>
      <c r="F119" s="4">
        <v>2</v>
      </c>
      <c r="G119" s="90">
        <v>1000</v>
      </c>
      <c r="H119" s="4">
        <f>B119*F119*10</f>
        <v>51840</v>
      </c>
      <c r="I119" s="26" t="s">
        <v>260</v>
      </c>
      <c r="J119" s="4">
        <v>8</v>
      </c>
      <c r="K119" s="4">
        <v>16</v>
      </c>
      <c r="L119" s="4">
        <f>H119*2</f>
        <v>103680</v>
      </c>
      <c r="M119" s="4">
        <f>G119*J119</f>
        <v>8000</v>
      </c>
      <c r="N119" s="4">
        <f>G119*K119</f>
        <v>16000</v>
      </c>
      <c r="O119" s="4">
        <f>M119*2</f>
        <v>16000</v>
      </c>
      <c r="P119" s="4">
        <f>N119*2</f>
        <v>32000</v>
      </c>
      <c r="Q119" s="4"/>
      <c r="R119" s="4"/>
      <c r="S119" s="4"/>
      <c r="T119" s="4"/>
      <c r="U119" s="4"/>
    </row>
    <row r="120" spans="1:21" x14ac:dyDescent="0.2">
      <c r="A120" s="4"/>
      <c r="B120" s="4"/>
      <c r="C120" s="4"/>
      <c r="D120" s="4"/>
      <c r="E120" s="4"/>
      <c r="F120" s="4"/>
      <c r="H120" s="26">
        <f>(H118+H119)/1000/8</f>
        <v>19.440000000000001</v>
      </c>
      <c r="I120" s="26" t="s">
        <v>566</v>
      </c>
      <c r="J120" s="4">
        <v>16</v>
      </c>
      <c r="K120" s="4">
        <v>32</v>
      </c>
      <c r="L120" s="4">
        <f>H120*2</f>
        <v>38.880000000000003</v>
      </c>
      <c r="M120" s="111">
        <f>(M118+M119)</f>
        <v>24000</v>
      </c>
      <c r="N120" s="111">
        <f>(N118+N119)</f>
        <v>48000</v>
      </c>
      <c r="O120" s="111">
        <f>(O118+O119)</f>
        <v>32000</v>
      </c>
      <c r="P120" s="111">
        <f>(P118+P119)</f>
        <v>64000</v>
      </c>
      <c r="Q120" s="4"/>
      <c r="R120" s="4"/>
      <c r="S120" s="4"/>
      <c r="T120" s="4"/>
      <c r="U120" s="4"/>
    </row>
    <row r="121" spans="1:21" x14ac:dyDescent="0.2">
      <c r="A121" s="112" t="s">
        <v>634</v>
      </c>
      <c r="B121" s="26" t="s">
        <v>259</v>
      </c>
      <c r="C121" s="26" t="s">
        <v>265</v>
      </c>
      <c r="D121" s="26" t="s">
        <v>261</v>
      </c>
      <c r="E121" s="26" t="s">
        <v>262</v>
      </c>
      <c r="F121" s="26" t="s">
        <v>302</v>
      </c>
      <c r="G121" s="59" t="s">
        <v>570</v>
      </c>
      <c r="H121" s="26" t="s">
        <v>562</v>
      </c>
      <c r="I121" s="4"/>
      <c r="J121" s="26" t="s">
        <v>563</v>
      </c>
      <c r="K121" s="26" t="s">
        <v>564</v>
      </c>
      <c r="L121" s="26" t="s">
        <v>565</v>
      </c>
      <c r="M121" s="26" t="s">
        <v>571</v>
      </c>
      <c r="N121" s="26" t="s">
        <v>572</v>
      </c>
      <c r="O121" s="26" t="s">
        <v>585</v>
      </c>
      <c r="P121" s="26" t="s">
        <v>586</v>
      </c>
      <c r="Q121" s="4"/>
      <c r="R121" s="4"/>
      <c r="S121" s="4"/>
      <c r="T121" s="4"/>
      <c r="U121" s="4"/>
    </row>
    <row r="122" spans="1:21" x14ac:dyDescent="0.2">
      <c r="A122" s="26" t="s">
        <v>258</v>
      </c>
      <c r="B122" s="26">
        <f>72*72</f>
        <v>5184</v>
      </c>
      <c r="C122" s="49">
        <v>16</v>
      </c>
      <c r="D122" s="49">
        <v>4</v>
      </c>
      <c r="E122" s="49">
        <v>90</v>
      </c>
      <c r="F122" s="4">
        <v>1</v>
      </c>
      <c r="G122" s="90">
        <v>2000</v>
      </c>
      <c r="H122" s="4">
        <f>B122*F122*10</f>
        <v>51840</v>
      </c>
      <c r="I122" s="26" t="s">
        <v>303</v>
      </c>
      <c r="J122" s="4">
        <f>D122*F122</f>
        <v>4</v>
      </c>
      <c r="K122" s="4">
        <f>J122*2</f>
        <v>8</v>
      </c>
      <c r="L122" s="4">
        <f>H122*2</f>
        <v>103680</v>
      </c>
      <c r="M122" s="4">
        <f>G122*J122</f>
        <v>8000</v>
      </c>
      <c r="N122" s="4">
        <f>G122*K122</f>
        <v>16000</v>
      </c>
      <c r="O122" s="4">
        <f>M122</f>
        <v>8000</v>
      </c>
      <c r="P122" s="4">
        <f>N122</f>
        <v>16000</v>
      </c>
      <c r="Q122" s="4"/>
      <c r="R122" s="4"/>
      <c r="S122" s="4"/>
      <c r="T122" s="4"/>
      <c r="U122" s="4"/>
    </row>
    <row r="123" spans="1:21" x14ac:dyDescent="0.2">
      <c r="A123" s="26" t="s">
        <v>263</v>
      </c>
      <c r="B123" s="4">
        <f>36*36*2</f>
        <v>2592</v>
      </c>
      <c r="C123" s="49">
        <v>8</v>
      </c>
      <c r="D123" s="49">
        <v>4</v>
      </c>
      <c r="E123" s="49">
        <v>90</v>
      </c>
      <c r="F123" s="4">
        <v>1</v>
      </c>
      <c r="G123" s="90">
        <v>1000</v>
      </c>
      <c r="H123" s="4">
        <f>B123*F123*10</f>
        <v>25920</v>
      </c>
      <c r="I123" s="26" t="s">
        <v>260</v>
      </c>
      <c r="J123" s="4">
        <f>D123*F123</f>
        <v>4</v>
      </c>
      <c r="K123" s="4">
        <f>J123*2</f>
        <v>8</v>
      </c>
      <c r="L123" s="4">
        <f>H123*2</f>
        <v>51840</v>
      </c>
      <c r="M123" s="4">
        <f>G123*J123</f>
        <v>4000</v>
      </c>
      <c r="N123" s="4">
        <f>G123*K123</f>
        <v>8000</v>
      </c>
      <c r="O123" s="4">
        <f>M123*2</f>
        <v>8000</v>
      </c>
      <c r="P123" s="4">
        <f>N123*2</f>
        <v>16000</v>
      </c>
      <c r="Q123" s="4"/>
      <c r="R123" s="4"/>
      <c r="S123" s="4"/>
      <c r="T123" s="4"/>
      <c r="U123" s="4"/>
    </row>
    <row r="124" spans="1:21" x14ac:dyDescent="0.2">
      <c r="A124" s="4"/>
      <c r="B124" s="4"/>
      <c r="C124" s="4"/>
      <c r="D124" s="4"/>
      <c r="E124" s="4"/>
      <c r="F124" s="4"/>
      <c r="H124" s="26">
        <f>(H122+H123)/1000/8</f>
        <v>9.7200000000000006</v>
      </c>
      <c r="I124" s="26" t="s">
        <v>566</v>
      </c>
      <c r="J124" s="4"/>
      <c r="K124" s="4"/>
      <c r="L124" s="4">
        <f>H124*2</f>
        <v>19.440000000000001</v>
      </c>
      <c r="M124" s="111">
        <f>(M122+M123)</f>
        <v>12000</v>
      </c>
      <c r="N124" s="111">
        <f>(N122+N123)</f>
        <v>24000</v>
      </c>
      <c r="O124" s="111">
        <f>(O122+O123)</f>
        <v>16000</v>
      </c>
      <c r="P124" s="111">
        <f>(P122+P123)</f>
        <v>32000</v>
      </c>
      <c r="Q124" s="4"/>
      <c r="R124" s="4"/>
      <c r="S124" s="4"/>
      <c r="T124" s="4"/>
      <c r="U124" s="4"/>
    </row>
    <row r="125" spans="1:21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4"/>
      <c r="O125" s="4"/>
      <c r="P125" s="4"/>
      <c r="Q125" s="4"/>
      <c r="R125" s="4"/>
      <c r="S125" s="4"/>
      <c r="T125" s="4"/>
      <c r="U125" s="4"/>
    </row>
    <row r="126" spans="1:21" x14ac:dyDescent="0.2">
      <c r="A126" s="135" t="s">
        <v>271</v>
      </c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27"/>
      <c r="O126" s="4"/>
      <c r="P126" s="4"/>
      <c r="Q126" s="4"/>
      <c r="R126" s="4"/>
      <c r="S126" s="4"/>
      <c r="T126" s="4"/>
      <c r="U126" s="4"/>
    </row>
    <row r="127" spans="1:21" x14ac:dyDescent="0.2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27"/>
      <c r="O127" s="4"/>
      <c r="P127" s="4"/>
      <c r="Q127" s="4"/>
      <c r="R127" s="4"/>
      <c r="S127" s="4"/>
      <c r="T127" s="4"/>
      <c r="U127" s="4"/>
    </row>
    <row r="128" spans="1:21" x14ac:dyDescent="0.2">
      <c r="A128" s="48" t="s">
        <v>264</v>
      </c>
      <c r="B128" s="48" t="s">
        <v>266</v>
      </c>
      <c r="C128" s="48" t="s">
        <v>267</v>
      </c>
      <c r="D128" s="59" t="s">
        <v>301</v>
      </c>
      <c r="E128" s="29"/>
      <c r="F128" s="29"/>
      <c r="G128" s="26" t="s">
        <v>563</v>
      </c>
      <c r="H128" s="26" t="s">
        <v>564</v>
      </c>
      <c r="I128" s="48" t="s">
        <v>567</v>
      </c>
      <c r="J128" s="48" t="s">
        <v>568</v>
      </c>
      <c r="K128" s="29"/>
      <c r="L128" s="26" t="s">
        <v>571</v>
      </c>
      <c r="M128" s="26" t="s">
        <v>572</v>
      </c>
      <c r="N128" s="4"/>
      <c r="O128" s="4"/>
      <c r="P128" s="4"/>
      <c r="Q128" s="4"/>
      <c r="R128" s="4"/>
      <c r="S128" s="4"/>
      <c r="T128" s="4"/>
      <c r="U128" s="4"/>
    </row>
    <row r="129" spans="1:21" x14ac:dyDescent="0.2">
      <c r="A129" s="26" t="s">
        <v>241</v>
      </c>
      <c r="B129" s="50"/>
      <c r="C129" s="50"/>
      <c r="E129" s="26"/>
      <c r="F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">
      <c r="A130" s="26" t="s">
        <v>268</v>
      </c>
      <c r="B130" s="50">
        <v>16</v>
      </c>
      <c r="C130" s="50">
        <v>64</v>
      </c>
      <c r="D130">
        <v>2</v>
      </c>
      <c r="E130" s="26" t="s">
        <v>272</v>
      </c>
      <c r="F130" s="4">
        <v>1600</v>
      </c>
      <c r="G130">
        <v>2</v>
      </c>
      <c r="H130">
        <v>4</v>
      </c>
      <c r="I130" s="4">
        <f>B130*C130*D130*10</f>
        <v>20480</v>
      </c>
      <c r="J130" s="4">
        <f>I130*2</f>
        <v>40960</v>
      </c>
      <c r="K130" s="26" t="s">
        <v>569</v>
      </c>
      <c r="L130" s="4">
        <f>F130*G130</f>
        <v>3200</v>
      </c>
      <c r="M130" s="4">
        <f>F130*H130</f>
        <v>6400</v>
      </c>
      <c r="N130" s="4"/>
      <c r="O130" s="4"/>
      <c r="P130" s="4"/>
      <c r="Q130" s="4"/>
      <c r="R130" s="4"/>
      <c r="S130" s="4"/>
      <c r="T130" s="4"/>
      <c r="U130" s="4"/>
    </row>
    <row r="131" spans="1:21" x14ac:dyDescent="0.2">
      <c r="A131" s="26" t="s">
        <v>269</v>
      </c>
      <c r="B131" s="51"/>
      <c r="C131" s="51"/>
      <c r="E131" s="4"/>
      <c r="F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">
      <c r="A132" s="26" t="s">
        <v>270</v>
      </c>
      <c r="B132" s="50">
        <v>16</v>
      </c>
      <c r="C132" s="50">
        <v>32</v>
      </c>
      <c r="D132">
        <v>2</v>
      </c>
      <c r="E132" s="26" t="s">
        <v>272</v>
      </c>
      <c r="F132" s="4">
        <v>1500</v>
      </c>
      <c r="G132">
        <v>2</v>
      </c>
      <c r="H132">
        <v>4</v>
      </c>
      <c r="I132" s="4">
        <f>B132*C132*D132*10</f>
        <v>10240</v>
      </c>
      <c r="J132" s="4">
        <f>I132*2</f>
        <v>20480</v>
      </c>
      <c r="K132" s="26" t="s">
        <v>569</v>
      </c>
      <c r="L132" s="4">
        <f>F132*G132</f>
        <v>3000</v>
      </c>
      <c r="M132" s="4">
        <f>F132*H132</f>
        <v>6000</v>
      </c>
      <c r="N132" s="4"/>
      <c r="O132" s="4"/>
      <c r="P132" s="4"/>
      <c r="Q132" s="4"/>
      <c r="R132" s="4"/>
      <c r="S132" s="4"/>
      <c r="T132" s="4"/>
      <c r="U132" s="4"/>
    </row>
    <row r="133" spans="1:21" x14ac:dyDescent="0.2">
      <c r="A133" s="4"/>
      <c r="B133" s="4"/>
      <c r="C133" s="4"/>
      <c r="D133" s="4"/>
      <c r="E133" s="4"/>
      <c r="F133" s="4"/>
      <c r="G133" s="4">
        <v>4</v>
      </c>
      <c r="H133" s="4">
        <v>8</v>
      </c>
      <c r="I133" s="4">
        <f>(I130+I132)/1000/8</f>
        <v>3.84</v>
      </c>
      <c r="J133" s="4">
        <f>(J130+J132)/1000/8</f>
        <v>7.68</v>
      </c>
      <c r="K133" s="26" t="s">
        <v>566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4"/>
      <c r="O134" s="4"/>
      <c r="P134" s="4"/>
      <c r="Q134" s="4"/>
      <c r="R134" s="4"/>
      <c r="S134" s="4"/>
      <c r="T134" s="4"/>
      <c r="U134" s="4"/>
    </row>
    <row r="135" spans="1:21" x14ac:dyDescent="0.2">
      <c r="A135" s="135" t="s">
        <v>338</v>
      </c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27"/>
      <c r="O135" s="4"/>
      <c r="P135" s="4"/>
      <c r="Q135" s="4"/>
      <c r="R135" s="4"/>
      <c r="S135" s="4"/>
      <c r="T135" s="4"/>
      <c r="U135" s="4"/>
    </row>
    <row r="136" spans="1:21" x14ac:dyDescent="0.2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27"/>
      <c r="O136" s="4"/>
      <c r="P136" s="4"/>
      <c r="Q136" s="4"/>
      <c r="R136" s="4"/>
      <c r="S136" s="4"/>
      <c r="T136" s="4"/>
      <c r="U136" s="4"/>
    </row>
    <row r="137" spans="1:21" x14ac:dyDescent="0.2">
      <c r="A137" s="63" t="s">
        <v>339</v>
      </c>
      <c r="B137" s="52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4"/>
      <c r="O137" s="4"/>
      <c r="P137" s="4"/>
      <c r="Q137" s="4"/>
      <c r="R137" s="4"/>
      <c r="S137" s="4"/>
      <c r="T137" s="4"/>
      <c r="U137" s="4"/>
    </row>
    <row r="138" spans="1:21" x14ac:dyDescent="0.2">
      <c r="A138" s="63" t="s">
        <v>340</v>
      </c>
      <c r="B138" s="64" t="s">
        <v>345</v>
      </c>
      <c r="C138" s="26" t="s">
        <v>342</v>
      </c>
      <c r="D138" s="26" t="s">
        <v>343</v>
      </c>
      <c r="E138" s="26" t="s">
        <v>308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">
      <c r="A139" s="48" t="s">
        <v>344</v>
      </c>
      <c r="B139" s="4">
        <v>16</v>
      </c>
      <c r="C139" s="4">
        <v>256</v>
      </c>
      <c r="D139" s="4">
        <v>1</v>
      </c>
      <c r="E139" s="26" t="s">
        <v>346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">
      <c r="A140" s="48" t="s">
        <v>347</v>
      </c>
      <c r="B140" s="4">
        <v>8</v>
      </c>
      <c r="C140" s="4">
        <v>256</v>
      </c>
      <c r="D140" s="4">
        <v>1</v>
      </c>
      <c r="E140" s="26" t="s">
        <v>351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">
      <c r="A141" s="65" t="s">
        <v>348</v>
      </c>
      <c r="B141" s="28">
        <v>16</v>
      </c>
      <c r="C141" s="28">
        <v>16</v>
      </c>
      <c r="D141" s="28">
        <v>1</v>
      </c>
      <c r="E141" s="26" t="s">
        <v>349</v>
      </c>
      <c r="F141" s="28"/>
      <c r="G141" s="28"/>
      <c r="H141" s="28"/>
      <c r="I141" s="28"/>
      <c r="J141" s="28"/>
      <c r="K141" s="28"/>
      <c r="L141" s="28"/>
      <c r="M141" s="28"/>
      <c r="N141" s="4"/>
      <c r="O141" s="4"/>
      <c r="P141" s="4"/>
      <c r="Q141" s="4"/>
      <c r="R141" s="4"/>
      <c r="S141" s="4"/>
      <c r="T141" s="4"/>
      <c r="U141" s="4"/>
    </row>
    <row r="142" spans="1:21" x14ac:dyDescent="0.2">
      <c r="A142" s="65" t="s">
        <v>350</v>
      </c>
      <c r="B142" s="28">
        <v>8</v>
      </c>
      <c r="C142" s="28">
        <v>16</v>
      </c>
      <c r="D142" s="28">
        <v>1</v>
      </c>
      <c r="E142" s="26" t="s">
        <v>352</v>
      </c>
      <c r="F142" s="28"/>
      <c r="G142" s="28"/>
      <c r="H142" s="28"/>
      <c r="I142" s="28"/>
      <c r="J142" s="28"/>
      <c r="K142" s="28"/>
      <c r="L142" s="28"/>
      <c r="M142" s="28"/>
      <c r="N142" s="4"/>
      <c r="O142" s="4"/>
      <c r="P142" s="4"/>
      <c r="Q142" s="4"/>
      <c r="R142" s="4"/>
      <c r="S142" s="4"/>
      <c r="T142" s="4"/>
      <c r="U142" s="4"/>
    </row>
    <row r="143" spans="1:21" x14ac:dyDescent="0.2">
      <c r="N143" s="27"/>
      <c r="O143" s="4"/>
      <c r="P143" s="4"/>
      <c r="Q143" s="4"/>
      <c r="R143" s="4"/>
      <c r="S143" s="4"/>
      <c r="T143" s="4"/>
      <c r="U143" s="4"/>
    </row>
    <row r="144" spans="1:21" x14ac:dyDescent="0.2">
      <c r="N144" s="27"/>
      <c r="O144" s="4"/>
      <c r="P144" s="4"/>
      <c r="Q144" s="4"/>
      <c r="R144" s="4"/>
      <c r="S144" s="4"/>
      <c r="T144" s="4"/>
      <c r="U144" s="4"/>
    </row>
    <row r="145" spans="1:21" x14ac:dyDescent="0.2">
      <c r="N145" s="4"/>
      <c r="O145" s="4"/>
      <c r="P145" s="4"/>
      <c r="Q145" s="4"/>
      <c r="R145" s="4"/>
      <c r="S145" s="4"/>
      <c r="T145" s="4"/>
      <c r="U145" s="4"/>
    </row>
    <row r="146" spans="1:21" x14ac:dyDescent="0.2">
      <c r="A146" s="124" t="s">
        <v>548</v>
      </c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5"/>
      <c r="N146" s="4"/>
      <c r="O146" s="4"/>
      <c r="P146" s="4"/>
      <c r="Q146" s="4"/>
      <c r="R146" s="4"/>
      <c r="S146" s="4"/>
      <c r="T146" s="4"/>
      <c r="U146" s="4"/>
    </row>
    <row r="147" spans="1:21" x14ac:dyDescent="0.2">
      <c r="A147" t="s">
        <v>549</v>
      </c>
      <c r="B147" t="s">
        <v>550</v>
      </c>
      <c r="C147" t="s">
        <v>551</v>
      </c>
      <c r="D147" t="s">
        <v>559</v>
      </c>
      <c r="F147" t="s">
        <v>560</v>
      </c>
      <c r="G147" t="s">
        <v>587</v>
      </c>
      <c r="H147" t="s">
        <v>588</v>
      </c>
      <c r="K147" t="s">
        <v>588</v>
      </c>
      <c r="N147" s="4"/>
      <c r="O147" s="4"/>
      <c r="P147" s="4"/>
      <c r="Q147" s="4"/>
      <c r="R147" s="4"/>
      <c r="S147" s="4"/>
      <c r="T147" s="4"/>
      <c r="U147" s="4"/>
    </row>
    <row r="148" spans="1:21" x14ac:dyDescent="0.2">
      <c r="A148" t="s">
        <v>552</v>
      </c>
      <c r="B148">
        <v>5000</v>
      </c>
      <c r="C148">
        <v>2</v>
      </c>
      <c r="D148">
        <f t="shared" ref="D148:D156" si="5">B148*C148</f>
        <v>10000</v>
      </c>
      <c r="E148">
        <v>2</v>
      </c>
      <c r="F148">
        <f>D148*E148</f>
        <v>20000</v>
      </c>
      <c r="G148">
        <f>D148</f>
        <v>10000</v>
      </c>
      <c r="H148">
        <f>F148</f>
        <v>20000</v>
      </c>
      <c r="K148">
        <v>10000</v>
      </c>
      <c r="N148" s="4"/>
      <c r="O148" s="4"/>
      <c r="P148" s="4"/>
      <c r="Q148" s="4"/>
      <c r="R148" s="4"/>
      <c r="S148" s="4"/>
      <c r="T148" s="4"/>
      <c r="U148" s="4"/>
    </row>
    <row r="149" spans="1:21" x14ac:dyDescent="0.2">
      <c r="A149" t="s">
        <v>553</v>
      </c>
      <c r="B149">
        <v>2500</v>
      </c>
      <c r="C149">
        <v>2</v>
      </c>
      <c r="D149">
        <f t="shared" si="5"/>
        <v>5000</v>
      </c>
      <c r="E149">
        <v>2</v>
      </c>
      <c r="F149">
        <f t="shared" ref="F149:F156" si="6">D149*E149</f>
        <v>10000</v>
      </c>
      <c r="G149">
        <f t="shared" ref="G149:G154" si="7">D149</f>
        <v>5000</v>
      </c>
      <c r="H149">
        <f t="shared" ref="H149:H154" si="8">F149</f>
        <v>10000</v>
      </c>
      <c r="K149">
        <v>5000</v>
      </c>
      <c r="N149" s="4"/>
      <c r="O149" s="4"/>
      <c r="P149" s="4"/>
      <c r="Q149" s="4"/>
      <c r="R149" s="4"/>
      <c r="S149" s="4"/>
      <c r="T149" s="4"/>
      <c r="U149" s="4"/>
    </row>
    <row r="150" spans="1:21" x14ac:dyDescent="0.2">
      <c r="A150" t="s">
        <v>554</v>
      </c>
      <c r="B150">
        <v>200</v>
      </c>
      <c r="C150">
        <v>5</v>
      </c>
      <c r="D150">
        <f t="shared" si="5"/>
        <v>1000</v>
      </c>
      <c r="E150">
        <v>2</v>
      </c>
      <c r="F150">
        <f t="shared" si="6"/>
        <v>2000</v>
      </c>
      <c r="G150">
        <f t="shared" si="7"/>
        <v>1000</v>
      </c>
      <c r="H150">
        <f t="shared" si="8"/>
        <v>2000</v>
      </c>
      <c r="K150">
        <v>1000</v>
      </c>
      <c r="N150" s="4"/>
      <c r="O150" s="4"/>
      <c r="P150" s="4"/>
      <c r="Q150" s="4"/>
      <c r="R150" s="4"/>
      <c r="S150" s="4"/>
      <c r="T150" s="4"/>
      <c r="U150" s="4"/>
    </row>
    <row r="151" spans="1:21" x14ac:dyDescent="0.2">
      <c r="A151" t="s">
        <v>557</v>
      </c>
      <c r="B151">
        <v>2000</v>
      </c>
      <c r="C151">
        <v>1</v>
      </c>
      <c r="D151">
        <f t="shared" si="5"/>
        <v>2000</v>
      </c>
      <c r="E151">
        <v>2</v>
      </c>
      <c r="F151">
        <f t="shared" si="6"/>
        <v>4000</v>
      </c>
      <c r="G151">
        <f t="shared" si="7"/>
        <v>2000</v>
      </c>
      <c r="H151">
        <f t="shared" si="8"/>
        <v>4000</v>
      </c>
      <c r="K151">
        <v>2000</v>
      </c>
      <c r="N151" s="4"/>
      <c r="O151" s="4"/>
      <c r="P151" s="4"/>
      <c r="Q151" s="4"/>
      <c r="R151" s="4"/>
      <c r="S151" s="4"/>
      <c r="T151" s="4"/>
      <c r="U151" s="4"/>
    </row>
    <row r="152" spans="1:21" x14ac:dyDescent="0.2">
      <c r="A152" t="s">
        <v>555</v>
      </c>
      <c r="B152">
        <v>2000</v>
      </c>
      <c r="C152">
        <v>1</v>
      </c>
      <c r="D152">
        <f t="shared" si="5"/>
        <v>2000</v>
      </c>
      <c r="E152">
        <v>1</v>
      </c>
      <c r="F152">
        <f t="shared" si="6"/>
        <v>2000</v>
      </c>
      <c r="G152">
        <f t="shared" si="7"/>
        <v>2000</v>
      </c>
      <c r="H152">
        <f t="shared" si="8"/>
        <v>2000</v>
      </c>
      <c r="K152">
        <v>2000</v>
      </c>
      <c r="N152" s="4"/>
      <c r="O152" s="4"/>
      <c r="P152" s="4"/>
      <c r="Q152" s="4"/>
      <c r="R152" s="4"/>
      <c r="S152" s="4"/>
      <c r="T152" s="4"/>
      <c r="U152" s="4"/>
    </row>
    <row r="153" spans="1:21" x14ac:dyDescent="0.2">
      <c r="A153" t="s">
        <v>556</v>
      </c>
      <c r="B153">
        <v>5000</v>
      </c>
      <c r="C153">
        <v>1</v>
      </c>
      <c r="D153">
        <f t="shared" si="5"/>
        <v>5000</v>
      </c>
      <c r="E153">
        <v>1</v>
      </c>
      <c r="F153">
        <f t="shared" si="6"/>
        <v>5000</v>
      </c>
      <c r="G153">
        <v>7000</v>
      </c>
      <c r="H153">
        <v>7000</v>
      </c>
      <c r="K153">
        <v>7000</v>
      </c>
      <c r="N153" s="4"/>
      <c r="O153" s="4"/>
      <c r="P153" s="4"/>
      <c r="Q153" s="4"/>
      <c r="R153" s="4"/>
      <c r="S153" s="4"/>
      <c r="T153" s="4"/>
      <c r="U153" s="4"/>
    </row>
    <row r="154" spans="1:21" x14ac:dyDescent="0.2">
      <c r="A154" t="s">
        <v>558</v>
      </c>
      <c r="B154">
        <v>1000</v>
      </c>
      <c r="C154">
        <v>1</v>
      </c>
      <c r="D154">
        <f t="shared" si="5"/>
        <v>1000</v>
      </c>
      <c r="E154">
        <v>1</v>
      </c>
      <c r="F154">
        <f t="shared" si="6"/>
        <v>1000</v>
      </c>
      <c r="G154">
        <f t="shared" si="7"/>
        <v>1000</v>
      </c>
      <c r="H154">
        <f t="shared" si="8"/>
        <v>1000</v>
      </c>
      <c r="K154">
        <v>1000</v>
      </c>
      <c r="N154" s="4"/>
      <c r="O154" s="4"/>
      <c r="P154" s="4"/>
      <c r="Q154" s="4"/>
      <c r="R154" s="4"/>
      <c r="S154" s="4"/>
      <c r="T154" s="4"/>
      <c r="U154" s="4"/>
    </row>
    <row r="155" spans="1:21" x14ac:dyDescent="0.2">
      <c r="A155" t="s">
        <v>573</v>
      </c>
      <c r="B155">
        <v>36000</v>
      </c>
      <c r="C155">
        <v>1</v>
      </c>
      <c r="D155">
        <f t="shared" si="5"/>
        <v>36000</v>
      </c>
      <c r="E155">
        <v>2</v>
      </c>
      <c r="F155">
        <f t="shared" si="6"/>
        <v>72000</v>
      </c>
      <c r="G155">
        <f>D155*4/3</f>
        <v>48000</v>
      </c>
      <c r="H155">
        <f>F155*4/3</f>
        <v>96000</v>
      </c>
      <c r="I155">
        <v>64000</v>
      </c>
      <c r="K155">
        <v>32000</v>
      </c>
      <c r="N155" s="4"/>
      <c r="O155" s="4"/>
      <c r="P155" s="4"/>
      <c r="Q155" s="4"/>
      <c r="R155" s="4"/>
      <c r="S155" s="4"/>
      <c r="T155" s="4"/>
      <c r="U155" s="4"/>
    </row>
    <row r="156" spans="1:21" x14ac:dyDescent="0.2">
      <c r="A156" t="s">
        <v>574</v>
      </c>
      <c r="B156">
        <v>6400</v>
      </c>
      <c r="C156">
        <v>1</v>
      </c>
      <c r="D156">
        <f t="shared" si="5"/>
        <v>6400</v>
      </c>
      <c r="E156">
        <v>1</v>
      </c>
      <c r="F156">
        <f t="shared" si="6"/>
        <v>6400</v>
      </c>
      <c r="G156">
        <f t="shared" ref="G156" si="9">D156</f>
        <v>6400</v>
      </c>
      <c r="H156">
        <f t="shared" ref="H156" si="10">F156</f>
        <v>6400</v>
      </c>
      <c r="K156">
        <v>6400</v>
      </c>
      <c r="N156" s="4"/>
      <c r="O156" s="4"/>
      <c r="P156" s="4"/>
      <c r="Q156" s="4"/>
      <c r="R156" s="4"/>
      <c r="S156" s="4"/>
      <c r="T156" s="4"/>
      <c r="U156" s="4"/>
    </row>
    <row r="157" spans="1:21" x14ac:dyDescent="0.2">
      <c r="A157" t="s">
        <v>561</v>
      </c>
      <c r="D157">
        <f>SUM(D148:D156)</f>
        <v>68400</v>
      </c>
      <c r="F157">
        <f>SUM(F148:F156)</f>
        <v>122400</v>
      </c>
      <c r="G157">
        <f>SUM(G148:G156)</f>
        <v>82400</v>
      </c>
      <c r="H157">
        <f>SUM(H148:H156)</f>
        <v>148400</v>
      </c>
      <c r="I157">
        <v>116000</v>
      </c>
      <c r="K157" s="110">
        <f>SUM(K148:K156)</f>
        <v>66400</v>
      </c>
      <c r="N157" s="4"/>
      <c r="O157" s="4"/>
      <c r="P157" s="4"/>
      <c r="Q157" s="4"/>
      <c r="R157" s="4"/>
      <c r="S157" s="4"/>
      <c r="T157" s="4"/>
      <c r="U157" s="4"/>
    </row>
    <row r="158" spans="1:21" x14ac:dyDescent="0.2">
      <c r="N158" s="4"/>
      <c r="O158" s="4"/>
      <c r="P158" s="4"/>
      <c r="Q158" s="4"/>
      <c r="R158" s="4"/>
      <c r="S158" s="4"/>
      <c r="T158" s="4"/>
      <c r="U158" s="4"/>
    </row>
    <row r="159" spans="1:21" x14ac:dyDescent="0.2">
      <c r="N159" s="4"/>
      <c r="O159" s="4"/>
      <c r="P159" s="4"/>
      <c r="Q159" s="4"/>
      <c r="R159" s="4"/>
      <c r="S159" s="4"/>
      <c r="T159" s="4"/>
      <c r="U159" s="4"/>
    </row>
    <row r="160" spans="1:21" x14ac:dyDescent="0.2">
      <c r="C160" t="s">
        <v>601</v>
      </c>
      <c r="D160" t="s">
        <v>602</v>
      </c>
      <c r="E160" t="s">
        <v>609</v>
      </c>
      <c r="N160" s="4"/>
      <c r="O160" s="4"/>
      <c r="P160" s="4"/>
      <c r="Q160" s="4"/>
      <c r="R160" s="4"/>
      <c r="S160" s="4"/>
      <c r="T160" s="4"/>
      <c r="U160" s="4"/>
    </row>
    <row r="161" spans="1:21" x14ac:dyDescent="0.2">
      <c r="B161" t="s">
        <v>603</v>
      </c>
      <c r="C161">
        <f>SUM(D148:D154)</f>
        <v>26000</v>
      </c>
      <c r="D161">
        <f>SUM(D155:D156)</f>
        <v>42400</v>
      </c>
      <c r="E161">
        <f>C161+D161</f>
        <v>68400</v>
      </c>
      <c r="N161" s="4"/>
      <c r="O161" s="4"/>
      <c r="P161" s="4"/>
      <c r="Q161" s="4"/>
      <c r="R161" s="4"/>
      <c r="S161" s="4"/>
      <c r="T161" s="4"/>
      <c r="U161" s="4"/>
    </row>
    <row r="162" spans="1:21" x14ac:dyDescent="0.2">
      <c r="B162" t="s">
        <v>604</v>
      </c>
      <c r="C162">
        <f>C161*0.85</f>
        <v>22100</v>
      </c>
      <c r="D162">
        <f>D161*0.9</f>
        <v>38160</v>
      </c>
      <c r="E162">
        <f t="shared" ref="E162:E166" si="11">C162+D162</f>
        <v>60260</v>
      </c>
      <c r="N162" s="4"/>
      <c r="O162" s="4"/>
      <c r="P162" s="4"/>
      <c r="Q162" s="4"/>
      <c r="R162" s="4"/>
      <c r="S162" s="4"/>
      <c r="T162" s="4"/>
      <c r="U162" s="4"/>
    </row>
    <row r="163" spans="1:21" x14ac:dyDescent="0.2">
      <c r="B163" t="s">
        <v>605</v>
      </c>
      <c r="C163">
        <f>SUM(F148:F154)</f>
        <v>44000</v>
      </c>
      <c r="D163">
        <f>SUM(F155:F156)</f>
        <v>78400</v>
      </c>
      <c r="E163">
        <f t="shared" si="11"/>
        <v>122400</v>
      </c>
      <c r="N163" s="4"/>
      <c r="O163" s="4"/>
      <c r="P163" s="4"/>
      <c r="Q163" s="4"/>
      <c r="R163" s="4"/>
      <c r="S163" s="4"/>
      <c r="T163" s="4"/>
      <c r="U163" s="4"/>
    </row>
    <row r="164" spans="1:21" x14ac:dyDescent="0.2">
      <c r="B164" t="s">
        <v>606</v>
      </c>
      <c r="C164">
        <f>SUM(G148:G154)</f>
        <v>28000</v>
      </c>
      <c r="D164">
        <f>SUM(G155:G156)</f>
        <v>54400</v>
      </c>
      <c r="E164">
        <f t="shared" si="11"/>
        <v>82400</v>
      </c>
      <c r="N164" s="4"/>
      <c r="O164" s="4"/>
      <c r="P164" s="4"/>
      <c r="Q164" s="4"/>
      <c r="R164" s="4"/>
      <c r="S164" s="4"/>
      <c r="T164" s="4"/>
      <c r="U164" s="4"/>
    </row>
    <row r="165" spans="1:21" x14ac:dyDescent="0.2">
      <c r="B165" t="s">
        <v>607</v>
      </c>
      <c r="C165">
        <f>C164*0.85</f>
        <v>23800</v>
      </c>
      <c r="D165">
        <f>D164*0.9</f>
        <v>48960</v>
      </c>
      <c r="E165">
        <f t="shared" si="11"/>
        <v>72760</v>
      </c>
      <c r="N165" s="4"/>
      <c r="O165" s="4"/>
      <c r="P165" s="4"/>
      <c r="Q165" s="4"/>
      <c r="R165" s="4"/>
      <c r="S165" s="4"/>
      <c r="T165" s="4"/>
      <c r="U165" s="4"/>
    </row>
    <row r="166" spans="1:21" x14ac:dyDescent="0.2">
      <c r="B166" t="s">
        <v>608</v>
      </c>
      <c r="C166">
        <f>SUM(H148:H154)</f>
        <v>46000</v>
      </c>
      <c r="D166">
        <f>SUM(H155:H156)</f>
        <v>102400</v>
      </c>
      <c r="E166">
        <f t="shared" si="11"/>
        <v>148400</v>
      </c>
      <c r="N166" s="4"/>
      <c r="O166" s="4"/>
      <c r="P166" s="4"/>
      <c r="Q166" s="4"/>
      <c r="R166" s="4"/>
      <c r="S166" s="4"/>
      <c r="T166" s="4"/>
      <c r="U166" s="4"/>
    </row>
    <row r="167" spans="1:21" x14ac:dyDescent="0.2">
      <c r="N167" s="4"/>
      <c r="O167" s="4"/>
      <c r="P167" s="4"/>
      <c r="Q167" s="4"/>
      <c r="R167" s="4"/>
      <c r="S167" s="4"/>
      <c r="T167" s="4"/>
      <c r="U167" s="4"/>
    </row>
    <row r="168" spans="1:21" x14ac:dyDescent="0.2">
      <c r="N168" s="4"/>
      <c r="O168" s="4"/>
      <c r="P168" s="4"/>
      <c r="Q168" s="4"/>
      <c r="R168" s="4"/>
      <c r="S168" s="4"/>
      <c r="T168" s="4"/>
      <c r="U168" s="4"/>
    </row>
    <row r="169" spans="1:21" x14ac:dyDescent="0.2">
      <c r="N169" s="4"/>
      <c r="O169" s="4"/>
      <c r="P169" s="4"/>
      <c r="Q169" s="4"/>
      <c r="R169" s="4"/>
      <c r="S169" s="4"/>
      <c r="T169" s="4"/>
      <c r="U169" s="4"/>
    </row>
    <row r="170" spans="1:21" x14ac:dyDescent="0.2">
      <c r="N170" s="4"/>
      <c r="O170" s="4"/>
      <c r="P170" s="4"/>
      <c r="Q170" s="4"/>
      <c r="R170" s="4"/>
      <c r="S170" s="4"/>
      <c r="T170" s="4"/>
      <c r="U170" s="4"/>
    </row>
    <row r="171" spans="1:21" x14ac:dyDescent="0.2">
      <c r="N171" s="4"/>
      <c r="O171" s="4"/>
      <c r="P171" s="4"/>
      <c r="Q171" s="4"/>
      <c r="R171" s="4"/>
      <c r="S171" s="4"/>
      <c r="T171" s="4"/>
      <c r="U171" s="4"/>
    </row>
    <row r="172" spans="1:21" ht="15" thickBot="1" x14ac:dyDescent="0.25">
      <c r="N172" s="4"/>
      <c r="O172" s="4"/>
      <c r="P172" s="4"/>
      <c r="Q172" s="4"/>
      <c r="R172" s="4"/>
      <c r="S172" s="4"/>
      <c r="T172" s="4"/>
      <c r="U172" s="4"/>
    </row>
    <row r="173" spans="1:21" x14ac:dyDescent="0.2">
      <c r="A173" s="126"/>
      <c r="B173" s="128"/>
      <c r="C173" s="126"/>
      <c r="D173" s="126"/>
      <c r="E173" s="126"/>
      <c r="F173" s="126"/>
      <c r="G173" s="126"/>
      <c r="H173" s="126"/>
      <c r="I173" s="126"/>
      <c r="J173" s="126"/>
      <c r="N173" s="4"/>
      <c r="O173" s="4"/>
      <c r="P173" s="4"/>
      <c r="Q173" s="4"/>
      <c r="R173" s="4"/>
      <c r="S173" s="4"/>
      <c r="T173" s="4"/>
      <c r="U173" s="4"/>
    </row>
    <row r="174" spans="1:21" ht="15" thickBot="1" x14ac:dyDescent="0.25">
      <c r="A174" s="127"/>
      <c r="B174" s="129"/>
      <c r="C174" s="127"/>
      <c r="D174" s="127"/>
      <c r="E174" s="127"/>
      <c r="F174" s="127"/>
      <c r="G174" s="127"/>
      <c r="H174" s="127"/>
      <c r="I174" s="127"/>
      <c r="J174" s="127"/>
      <c r="N174" s="4"/>
      <c r="O174" s="4"/>
      <c r="P174" s="4"/>
      <c r="Q174" s="4"/>
      <c r="R174" s="4"/>
      <c r="S174" s="4"/>
      <c r="T174" s="4"/>
      <c r="U174" s="4"/>
    </row>
    <row r="175" spans="1:21" ht="15" thickBot="1" x14ac:dyDescent="0.25">
      <c r="A175" s="91"/>
      <c r="B175" s="92"/>
      <c r="C175" s="92"/>
      <c r="D175" s="92"/>
      <c r="E175" s="92"/>
      <c r="F175" s="92"/>
      <c r="G175" s="92"/>
      <c r="H175" s="92"/>
      <c r="I175" s="92"/>
      <c r="J175" s="92"/>
      <c r="N175" s="4"/>
      <c r="O175" s="4"/>
      <c r="P175" s="4"/>
      <c r="Q175" s="4"/>
      <c r="R175" s="4"/>
      <c r="S175" s="4"/>
      <c r="T175" s="4"/>
      <c r="U175" s="4"/>
    </row>
    <row r="176" spans="1:21" x14ac:dyDescent="0.2">
      <c r="A176" s="128"/>
      <c r="B176" s="130"/>
      <c r="C176" s="130"/>
      <c r="D176" s="130"/>
      <c r="E176" s="130"/>
      <c r="F176" s="130"/>
      <c r="G176" s="130"/>
      <c r="H176" s="130"/>
      <c r="I176" s="130"/>
      <c r="J176" s="130"/>
      <c r="N176" s="4"/>
      <c r="O176" s="4"/>
      <c r="P176" s="4"/>
      <c r="Q176" s="4"/>
      <c r="R176" s="4"/>
      <c r="S176" s="4"/>
      <c r="T176" s="4"/>
      <c r="U176" s="4"/>
    </row>
    <row r="177" spans="1:21" ht="15" thickBot="1" x14ac:dyDescent="0.25">
      <c r="A177" s="129"/>
      <c r="B177" s="131"/>
      <c r="C177" s="131"/>
      <c r="D177" s="131"/>
      <c r="E177" s="131"/>
      <c r="F177" s="131"/>
      <c r="G177" s="131"/>
      <c r="H177" s="131"/>
      <c r="I177" s="131"/>
      <c r="J177" s="131"/>
      <c r="N177" s="4"/>
      <c r="O177" s="4"/>
      <c r="P177" s="4"/>
      <c r="Q177" s="4"/>
      <c r="R177" s="4"/>
      <c r="S177" s="4"/>
      <c r="T177" s="4"/>
      <c r="U177" s="4"/>
    </row>
    <row r="178" spans="1:21" x14ac:dyDescent="0.2">
      <c r="A178" s="128"/>
      <c r="B178" s="130"/>
      <c r="C178" s="130"/>
      <c r="D178" s="130"/>
      <c r="E178" s="130"/>
      <c r="F178" s="130"/>
      <c r="G178" s="130"/>
      <c r="H178" s="130"/>
      <c r="I178" s="130"/>
      <c r="J178" s="130"/>
      <c r="N178" s="4"/>
      <c r="O178" s="4"/>
      <c r="P178" s="4"/>
      <c r="Q178" s="4"/>
      <c r="R178" s="4"/>
      <c r="S178" s="4"/>
      <c r="T178" s="4"/>
      <c r="U178" s="4"/>
    </row>
    <row r="179" spans="1:21" ht="15" thickBot="1" x14ac:dyDescent="0.25">
      <c r="A179" s="129"/>
      <c r="B179" s="131"/>
      <c r="C179" s="131"/>
      <c r="D179" s="131"/>
      <c r="E179" s="131"/>
      <c r="F179" s="131"/>
      <c r="G179" s="131"/>
      <c r="H179" s="131"/>
      <c r="I179" s="131"/>
      <c r="J179" s="131"/>
      <c r="N179" s="113"/>
      <c r="O179" s="114"/>
      <c r="P179" s="4"/>
      <c r="Q179" s="4"/>
      <c r="R179" s="4"/>
      <c r="S179" s="4"/>
      <c r="T179" s="4"/>
      <c r="U179" s="4"/>
    </row>
    <row r="180" spans="1:21" ht="15" thickBot="1" x14ac:dyDescent="0.25">
      <c r="A180" s="91"/>
      <c r="B180" s="92"/>
      <c r="C180" s="93"/>
      <c r="D180" s="93"/>
      <c r="E180" s="93"/>
      <c r="F180" s="93"/>
      <c r="G180" s="93"/>
      <c r="H180" s="93"/>
      <c r="I180" s="93"/>
      <c r="J180" s="93"/>
      <c r="N180" s="4"/>
      <c r="O180" s="4"/>
      <c r="P180" s="4"/>
      <c r="Q180" s="4"/>
      <c r="R180" s="4"/>
      <c r="S180" s="4"/>
      <c r="T180" s="4"/>
      <c r="U180" s="4"/>
    </row>
    <row r="181" spans="1:21" x14ac:dyDescent="0.2">
      <c r="A181" s="128"/>
      <c r="B181" s="143"/>
      <c r="C181" s="141"/>
      <c r="D181" s="141"/>
      <c r="E181" s="141"/>
      <c r="F181" s="141"/>
      <c r="G181" s="141"/>
      <c r="H181" s="141"/>
      <c r="I181" s="141"/>
      <c r="J181" s="141"/>
      <c r="N181" s="4"/>
      <c r="O181" s="4"/>
      <c r="P181" s="4"/>
      <c r="Q181" s="4"/>
      <c r="R181" s="4"/>
      <c r="S181" s="4"/>
      <c r="T181" s="4"/>
      <c r="U181" s="4"/>
    </row>
    <row r="182" spans="1:21" ht="15" thickBot="1" x14ac:dyDescent="0.25">
      <c r="A182" s="129"/>
      <c r="B182" s="144"/>
      <c r="C182" s="142"/>
      <c r="D182" s="142"/>
      <c r="E182" s="142"/>
      <c r="F182" s="142"/>
      <c r="G182" s="142"/>
      <c r="H182" s="142"/>
      <c r="I182" s="142"/>
      <c r="J182" s="142"/>
      <c r="N182" s="4"/>
      <c r="O182" s="4"/>
      <c r="P182" s="4"/>
      <c r="Q182" s="4"/>
      <c r="R182" s="4"/>
      <c r="S182" s="4"/>
      <c r="T182" s="4"/>
      <c r="U182" s="4"/>
    </row>
    <row r="183" spans="1:21" x14ac:dyDescent="0.2">
      <c r="A183" s="128"/>
      <c r="B183" s="143"/>
      <c r="C183" s="141"/>
      <c r="D183" s="141"/>
      <c r="E183" s="141"/>
      <c r="F183" s="141"/>
      <c r="G183" s="141"/>
      <c r="H183" s="141"/>
      <c r="I183" s="141"/>
      <c r="J183" s="141"/>
      <c r="N183" s="4"/>
      <c r="O183" s="4"/>
      <c r="P183" s="4"/>
      <c r="Q183" s="4"/>
      <c r="R183" s="4"/>
      <c r="S183" s="4"/>
      <c r="T183" s="4"/>
      <c r="U183" s="4"/>
    </row>
    <row r="184" spans="1:21" ht="15" thickBot="1" x14ac:dyDescent="0.25">
      <c r="A184" s="129"/>
      <c r="B184" s="144"/>
      <c r="C184" s="142"/>
      <c r="D184" s="142"/>
      <c r="E184" s="142"/>
      <c r="F184" s="142"/>
      <c r="G184" s="142"/>
      <c r="H184" s="142"/>
      <c r="I184" s="142"/>
      <c r="J184" s="142"/>
      <c r="N184" s="4"/>
      <c r="O184" s="4"/>
      <c r="P184" s="4"/>
      <c r="Q184" s="4"/>
      <c r="R184" s="4"/>
      <c r="S184" s="4"/>
      <c r="T184" s="4"/>
      <c r="U184" s="4"/>
    </row>
    <row r="185" spans="1:21" x14ac:dyDescent="0.2">
      <c r="A185" s="128"/>
      <c r="B185" s="143"/>
      <c r="C185" s="141"/>
      <c r="D185" s="141"/>
      <c r="E185" s="141"/>
      <c r="F185" s="141"/>
      <c r="G185" s="141"/>
      <c r="H185" s="141"/>
      <c r="I185" s="141"/>
      <c r="J185" s="141"/>
      <c r="N185" s="4"/>
      <c r="O185" s="4"/>
      <c r="P185" s="4"/>
      <c r="Q185" s="4"/>
      <c r="R185" s="4"/>
      <c r="S185" s="4"/>
      <c r="T185" s="4"/>
      <c r="U185" s="4"/>
    </row>
    <row r="186" spans="1:21" ht="15" thickBot="1" x14ac:dyDescent="0.25">
      <c r="A186" s="129"/>
      <c r="B186" s="144"/>
      <c r="C186" s="142"/>
      <c r="D186" s="142"/>
      <c r="E186" s="142"/>
      <c r="F186" s="142"/>
      <c r="G186" s="142"/>
      <c r="H186" s="142"/>
      <c r="I186" s="142"/>
      <c r="J186" s="142"/>
      <c r="N186" s="4"/>
      <c r="O186" s="4"/>
      <c r="P186" s="4"/>
      <c r="Q186" s="4"/>
      <c r="R186" s="4"/>
      <c r="S186" s="4"/>
      <c r="T186" s="4"/>
      <c r="U186" s="4"/>
    </row>
    <row r="187" spans="1:21" x14ac:dyDescent="0.2">
      <c r="A187" s="128"/>
      <c r="B187" s="143"/>
      <c r="C187" s="141"/>
      <c r="D187" s="141"/>
      <c r="E187" s="141"/>
      <c r="F187" s="141"/>
      <c r="G187" s="141"/>
      <c r="H187" s="141"/>
      <c r="I187" s="141"/>
      <c r="J187" s="141"/>
      <c r="N187" s="4"/>
      <c r="O187" s="4"/>
      <c r="P187" s="4"/>
      <c r="Q187" s="4"/>
      <c r="R187" s="4"/>
      <c r="S187" s="4"/>
      <c r="T187" s="4"/>
      <c r="U187" s="4"/>
    </row>
    <row r="188" spans="1:21" ht="15" thickBot="1" x14ac:dyDescent="0.25">
      <c r="A188" s="129"/>
      <c r="B188" s="144"/>
      <c r="C188" s="142"/>
      <c r="D188" s="142"/>
      <c r="E188" s="142"/>
      <c r="F188" s="142"/>
      <c r="G188" s="142"/>
      <c r="H188" s="142"/>
      <c r="I188" s="142"/>
      <c r="J188" s="142"/>
      <c r="N188" s="4"/>
      <c r="O188" s="4"/>
      <c r="P188" s="4"/>
      <c r="Q188" s="4"/>
      <c r="R188" s="4"/>
      <c r="S188" s="4"/>
      <c r="T188" s="4"/>
      <c r="U188" s="4"/>
    </row>
    <row r="189" spans="1:21" x14ac:dyDescent="0.2">
      <c r="A189" s="128"/>
      <c r="B189" s="143"/>
      <c r="C189" s="141"/>
      <c r="D189" s="141"/>
      <c r="E189" s="141"/>
      <c r="F189" s="141"/>
      <c r="G189" s="141"/>
      <c r="H189" s="141"/>
      <c r="I189" s="141"/>
      <c r="J189" s="141"/>
      <c r="N189" s="4"/>
      <c r="O189" s="4"/>
      <c r="P189" s="4"/>
      <c r="Q189" s="4"/>
      <c r="R189" s="4"/>
      <c r="S189" s="4"/>
      <c r="T189" s="4"/>
      <c r="U189" s="4"/>
    </row>
    <row r="190" spans="1:21" ht="15" thickBot="1" x14ac:dyDescent="0.25">
      <c r="A190" s="129"/>
      <c r="B190" s="144"/>
      <c r="C190" s="142"/>
      <c r="D190" s="142"/>
      <c r="E190" s="142"/>
      <c r="F190" s="142"/>
      <c r="G190" s="142"/>
      <c r="H190" s="142"/>
      <c r="I190" s="142"/>
      <c r="J190" s="142"/>
      <c r="N190" s="4"/>
      <c r="O190" s="4"/>
      <c r="P190" s="4"/>
      <c r="Q190" s="4"/>
      <c r="R190" s="4"/>
      <c r="S190" s="4"/>
      <c r="T190" s="4"/>
      <c r="U190" s="4"/>
    </row>
    <row r="191" spans="1:21" x14ac:dyDescent="0.2">
      <c r="A191" s="128"/>
      <c r="B191" s="143"/>
      <c r="C191" s="141"/>
      <c r="D191" s="141"/>
      <c r="E191" s="141"/>
      <c r="F191" s="141"/>
      <c r="G191" s="141"/>
      <c r="H191" s="141"/>
      <c r="I191" s="141"/>
      <c r="J191" s="141"/>
      <c r="N191" s="4"/>
      <c r="O191" s="4"/>
      <c r="P191" s="4"/>
      <c r="Q191" s="4"/>
      <c r="R191" s="4"/>
      <c r="S191" s="4"/>
      <c r="T191" s="4"/>
      <c r="U191" s="4"/>
    </row>
    <row r="192" spans="1:21" ht="15" thickBot="1" x14ac:dyDescent="0.25">
      <c r="A192" s="129"/>
      <c r="B192" s="144"/>
      <c r="C192" s="142"/>
      <c r="D192" s="142"/>
      <c r="E192" s="142"/>
      <c r="F192" s="142"/>
      <c r="G192" s="142"/>
      <c r="H192" s="142"/>
      <c r="I192" s="142"/>
      <c r="J192" s="142"/>
      <c r="N192" s="4"/>
      <c r="O192" s="4"/>
      <c r="P192" s="4"/>
      <c r="Q192" s="4"/>
      <c r="R192" s="4"/>
      <c r="S192" s="4"/>
      <c r="T192" s="4"/>
      <c r="U192" s="4"/>
    </row>
    <row r="193" spans="1:21" x14ac:dyDescent="0.2">
      <c r="A193" s="126"/>
      <c r="B193" s="143"/>
      <c r="C193" s="130"/>
      <c r="D193" s="130"/>
      <c r="E193" s="130"/>
      <c r="F193" s="130"/>
      <c r="G193" s="130"/>
      <c r="H193" s="130"/>
      <c r="I193" s="130"/>
      <c r="J193" s="130"/>
      <c r="N193" s="4"/>
      <c r="O193" s="4"/>
      <c r="P193" s="4"/>
      <c r="Q193" s="4"/>
      <c r="R193" s="4"/>
      <c r="S193" s="4"/>
      <c r="T193" s="4"/>
      <c r="U193" s="4"/>
    </row>
    <row r="194" spans="1:21" ht="15" thickBot="1" x14ac:dyDescent="0.25">
      <c r="A194" s="127"/>
      <c r="B194" s="144"/>
      <c r="C194" s="131"/>
      <c r="D194" s="131"/>
      <c r="E194" s="131"/>
      <c r="F194" s="131"/>
      <c r="G194" s="131"/>
      <c r="H194" s="131"/>
      <c r="I194" s="131"/>
      <c r="J194" s="131"/>
      <c r="N194" s="4"/>
      <c r="O194" s="4"/>
      <c r="P194" s="4"/>
      <c r="Q194" s="4"/>
      <c r="R194" s="4"/>
      <c r="S194" s="4"/>
      <c r="T194" s="4"/>
      <c r="U194" s="4"/>
    </row>
    <row r="195" spans="1:21" x14ac:dyDescent="0.2">
      <c r="A195" s="126"/>
      <c r="B195" s="143"/>
      <c r="C195" s="130"/>
      <c r="D195" s="130"/>
      <c r="E195" s="130"/>
      <c r="F195" s="130"/>
      <c r="G195" s="130"/>
      <c r="H195" s="130"/>
      <c r="I195" s="130"/>
      <c r="J195" s="130"/>
      <c r="N195" s="4"/>
      <c r="O195" s="4"/>
      <c r="P195" s="4"/>
      <c r="Q195" s="4"/>
      <c r="R195" s="4"/>
      <c r="S195" s="4"/>
      <c r="T195" s="4"/>
      <c r="U195" s="4"/>
    </row>
    <row r="196" spans="1:21" ht="15" thickBot="1" x14ac:dyDescent="0.25">
      <c r="A196" s="127"/>
      <c r="B196" s="144"/>
      <c r="C196" s="131"/>
      <c r="D196" s="131"/>
      <c r="E196" s="131"/>
      <c r="F196" s="131"/>
      <c r="G196" s="131"/>
      <c r="H196" s="131"/>
      <c r="I196" s="131"/>
      <c r="J196" s="131"/>
      <c r="N196" s="4"/>
      <c r="O196" s="4"/>
      <c r="P196" s="4"/>
      <c r="Q196" s="4"/>
      <c r="R196" s="4"/>
      <c r="S196" s="4"/>
      <c r="T196" s="4"/>
      <c r="U196" s="4"/>
    </row>
    <row r="197" spans="1:21" x14ac:dyDescent="0.2">
      <c r="A197" s="126"/>
      <c r="B197" s="143"/>
      <c r="C197" s="130"/>
      <c r="D197" s="130"/>
      <c r="E197" s="130"/>
      <c r="F197" s="130"/>
      <c r="G197" s="130"/>
      <c r="H197" s="130"/>
      <c r="I197" s="130"/>
      <c r="J197" s="130"/>
      <c r="N197" s="4"/>
      <c r="O197" s="4"/>
      <c r="P197" s="4"/>
      <c r="Q197" s="4"/>
      <c r="R197" s="4"/>
      <c r="S197" s="4"/>
      <c r="T197" s="4"/>
      <c r="U197" s="4"/>
    </row>
    <row r="198" spans="1:21" ht="15" thickBot="1" x14ac:dyDescent="0.25">
      <c r="A198" s="127"/>
      <c r="B198" s="144"/>
      <c r="C198" s="131"/>
      <c r="D198" s="131"/>
      <c r="E198" s="131"/>
      <c r="F198" s="131"/>
      <c r="G198" s="131"/>
      <c r="H198" s="131"/>
      <c r="I198" s="131"/>
      <c r="J198" s="131"/>
      <c r="N198" s="4"/>
      <c r="O198" s="4"/>
      <c r="P198" s="4"/>
      <c r="Q198" s="4"/>
      <c r="R198" s="4"/>
      <c r="S198" s="4"/>
      <c r="T198" s="4"/>
      <c r="U198" s="4"/>
    </row>
    <row r="199" spans="1:21" x14ac:dyDescent="0.2">
      <c r="N199" s="4"/>
      <c r="O199" s="4"/>
      <c r="P199" s="4"/>
      <c r="Q199" s="4"/>
      <c r="R199" s="4"/>
      <c r="S199" s="4"/>
      <c r="T199" s="4"/>
      <c r="U199" s="4"/>
    </row>
    <row r="200" spans="1:21" x14ac:dyDescent="0.2">
      <c r="N200" s="4"/>
      <c r="O200" s="4"/>
      <c r="P200" s="4"/>
      <c r="Q200" s="4"/>
      <c r="R200" s="4"/>
      <c r="S200" s="4"/>
      <c r="T200" s="4"/>
      <c r="U200" s="4"/>
    </row>
    <row r="201" spans="1:21" x14ac:dyDescent="0.2">
      <c r="N201" s="4"/>
      <c r="O201" s="4"/>
      <c r="P201" s="4"/>
      <c r="Q201" s="4"/>
      <c r="R201" s="4"/>
      <c r="S201" s="4"/>
      <c r="T201" s="4"/>
      <c r="U201" s="4"/>
    </row>
    <row r="202" spans="1:21" x14ac:dyDescent="0.2">
      <c r="N202" s="4"/>
      <c r="O202" s="4"/>
      <c r="P202" s="4"/>
      <c r="Q202" s="4"/>
      <c r="R202" s="4"/>
      <c r="S202" s="4"/>
      <c r="T202" s="4"/>
      <c r="U202" s="4"/>
    </row>
    <row r="203" spans="1:21" x14ac:dyDescent="0.2">
      <c r="N203" s="4"/>
      <c r="O203" s="4"/>
      <c r="P203" s="4"/>
      <c r="Q203" s="4"/>
      <c r="R203" s="4"/>
      <c r="S203" s="4"/>
      <c r="T203" s="4"/>
      <c r="U203" s="4"/>
    </row>
    <row r="204" spans="1:21" x14ac:dyDescent="0.2">
      <c r="N204" s="4"/>
      <c r="O204" s="4"/>
      <c r="P204" s="4"/>
      <c r="Q204" s="4"/>
      <c r="R204" s="4"/>
      <c r="S204" s="4"/>
      <c r="T204" s="4"/>
      <c r="U204" s="4"/>
    </row>
    <row r="205" spans="1:21" x14ac:dyDescent="0.2">
      <c r="N205" s="4"/>
      <c r="O205" s="4"/>
      <c r="P205" s="4"/>
      <c r="Q205" s="4"/>
      <c r="R205" s="4"/>
      <c r="S205" s="4"/>
      <c r="T205" s="4"/>
      <c r="U205" s="4"/>
    </row>
    <row r="206" spans="1:21" x14ac:dyDescent="0.2">
      <c r="N206" s="4"/>
      <c r="O206" s="4"/>
      <c r="P206" s="4"/>
      <c r="Q206" s="4"/>
      <c r="R206" s="4"/>
      <c r="S206" s="4"/>
      <c r="T206" s="4"/>
      <c r="U206" s="4"/>
    </row>
    <row r="207" spans="1:21" x14ac:dyDescent="0.2">
      <c r="N207" s="4"/>
      <c r="O207" s="4"/>
      <c r="P207" s="4"/>
      <c r="Q207" s="4"/>
      <c r="R207" s="4"/>
      <c r="S207" s="4"/>
      <c r="T207" s="4"/>
      <c r="U207" s="4"/>
    </row>
    <row r="208" spans="1:21" x14ac:dyDescent="0.2">
      <c r="N208" s="4"/>
      <c r="O208" s="4"/>
      <c r="P208" s="4"/>
      <c r="Q208" s="4"/>
      <c r="R208" s="4"/>
      <c r="S208" s="4"/>
      <c r="T208" s="4"/>
      <c r="U208" s="4"/>
    </row>
    <row r="209" spans="14:21" x14ac:dyDescent="0.2">
      <c r="N209" s="4"/>
      <c r="O209" s="4"/>
      <c r="P209" s="4"/>
      <c r="Q209" s="4"/>
      <c r="R209" s="4"/>
      <c r="S209" s="4"/>
      <c r="T209" s="4"/>
      <c r="U209" s="4"/>
    </row>
    <row r="210" spans="14:21" x14ac:dyDescent="0.2">
      <c r="N210" s="4"/>
      <c r="O210" s="4"/>
      <c r="P210" s="4"/>
      <c r="Q210" s="4"/>
      <c r="R210" s="4"/>
      <c r="S210" s="4"/>
      <c r="T210" s="4"/>
      <c r="U210" s="4"/>
    </row>
    <row r="211" spans="14:21" x14ac:dyDescent="0.2">
      <c r="N211" s="4"/>
      <c r="O211" s="4"/>
      <c r="P211" s="4"/>
      <c r="Q211" s="4"/>
      <c r="R211" s="4"/>
      <c r="S211" s="4"/>
      <c r="T211" s="4"/>
      <c r="U211" s="4"/>
    </row>
    <row r="212" spans="14:21" x14ac:dyDescent="0.2">
      <c r="N212" s="4"/>
      <c r="O212" s="4"/>
      <c r="P212" s="4"/>
      <c r="Q212" s="4"/>
      <c r="R212" s="4"/>
      <c r="S212" s="4"/>
      <c r="T212" s="4"/>
      <c r="U212" s="4"/>
    </row>
    <row r="213" spans="14:21" x14ac:dyDescent="0.2">
      <c r="N213" s="4"/>
      <c r="O213" s="4"/>
      <c r="P213" s="4"/>
      <c r="Q213" s="4"/>
      <c r="R213" s="4"/>
      <c r="S213" s="4"/>
      <c r="T213" s="4"/>
      <c r="U213" s="4"/>
    </row>
    <row r="214" spans="14:21" x14ac:dyDescent="0.2">
      <c r="N214" s="4"/>
      <c r="O214" s="4"/>
      <c r="P214" s="4"/>
      <c r="Q214" s="4"/>
      <c r="R214" s="4"/>
      <c r="S214" s="4"/>
      <c r="T214" s="4"/>
      <c r="U214" s="4"/>
    </row>
    <row r="215" spans="14:21" x14ac:dyDescent="0.2">
      <c r="N215" s="4"/>
      <c r="O215" s="4"/>
      <c r="P215" s="4"/>
      <c r="Q215" s="4"/>
      <c r="R215" s="4"/>
      <c r="S215" s="4"/>
      <c r="T215" s="4"/>
      <c r="U215" s="4"/>
    </row>
    <row r="216" spans="14:21" x14ac:dyDescent="0.2">
      <c r="N216" s="4"/>
      <c r="O216" s="4"/>
      <c r="P216" s="4"/>
      <c r="Q216" s="4"/>
      <c r="R216" s="4"/>
      <c r="S216" s="4"/>
      <c r="T216" s="4"/>
      <c r="U216" s="4"/>
    </row>
    <row r="217" spans="14:21" x14ac:dyDescent="0.2">
      <c r="N217" s="4"/>
      <c r="O217" s="4"/>
      <c r="P217" s="4"/>
      <c r="Q217" s="4"/>
      <c r="R217" s="4"/>
      <c r="S217" s="4"/>
      <c r="T217" s="4"/>
      <c r="U217" s="4"/>
    </row>
    <row r="218" spans="14:21" x14ac:dyDescent="0.2">
      <c r="N218" s="4"/>
      <c r="O218" s="4"/>
      <c r="P218" s="4"/>
      <c r="Q218" s="4"/>
      <c r="R218" s="4"/>
      <c r="S218" s="4"/>
      <c r="T218" s="4"/>
      <c r="U218" s="4"/>
    </row>
    <row r="219" spans="14:21" x14ac:dyDescent="0.2">
      <c r="N219" s="4"/>
      <c r="O219" s="4"/>
      <c r="P219" s="4"/>
      <c r="Q219" s="4"/>
      <c r="R219" s="4"/>
      <c r="S219" s="4"/>
      <c r="T219" s="4"/>
      <c r="U219" s="4"/>
    </row>
    <row r="220" spans="14:21" x14ac:dyDescent="0.2">
      <c r="N220" s="4"/>
      <c r="O220" s="4"/>
      <c r="P220" s="4"/>
      <c r="Q220" s="4"/>
      <c r="R220" s="4"/>
      <c r="S220" s="4"/>
      <c r="T220" s="4"/>
      <c r="U220" s="4"/>
    </row>
    <row r="221" spans="14:21" x14ac:dyDescent="0.2">
      <c r="N221" s="4"/>
      <c r="O221" s="4"/>
      <c r="P221" s="4"/>
      <c r="Q221" s="4"/>
      <c r="R221" s="4"/>
      <c r="S221" s="4"/>
      <c r="T221" s="4"/>
      <c r="U221" s="4"/>
    </row>
    <row r="222" spans="14:21" x14ac:dyDescent="0.2">
      <c r="N222" s="4"/>
      <c r="O222" s="4"/>
      <c r="P222" s="4"/>
      <c r="Q222" s="4"/>
      <c r="R222" s="4"/>
      <c r="S222" s="4"/>
      <c r="T222" s="4"/>
      <c r="U222" s="4"/>
    </row>
    <row r="223" spans="14:21" x14ac:dyDescent="0.2">
      <c r="N223" s="4"/>
      <c r="O223" s="4"/>
      <c r="P223" s="4"/>
      <c r="Q223" s="4"/>
      <c r="R223" s="4"/>
      <c r="S223" s="4"/>
      <c r="T223" s="4"/>
      <c r="U223" s="4"/>
    </row>
    <row r="224" spans="14:21" x14ac:dyDescent="0.2">
      <c r="N224" s="4"/>
      <c r="O224" s="4"/>
      <c r="P224" s="4"/>
      <c r="Q224" s="4"/>
      <c r="R224" s="4"/>
      <c r="S224" s="4"/>
      <c r="T224" s="4"/>
      <c r="U224" s="4"/>
    </row>
    <row r="225" spans="1:21" x14ac:dyDescent="0.2">
      <c r="N225" s="4"/>
      <c r="O225" s="4"/>
      <c r="P225" s="4"/>
      <c r="Q225" s="4"/>
      <c r="R225" s="4"/>
      <c r="S225" s="4"/>
      <c r="T225" s="4"/>
      <c r="U225" s="4"/>
    </row>
    <row r="226" spans="1:21" x14ac:dyDescent="0.2">
      <c r="N226" s="4"/>
      <c r="O226" s="4"/>
      <c r="P226" s="4"/>
      <c r="Q226" s="4"/>
      <c r="R226" s="4"/>
      <c r="S226" s="4"/>
      <c r="T226" s="4"/>
      <c r="U226" s="4"/>
    </row>
    <row r="227" spans="1:21" x14ac:dyDescent="0.2">
      <c r="N227" s="4"/>
      <c r="O227" s="4"/>
      <c r="P227" s="4"/>
      <c r="Q227" s="4"/>
      <c r="R227" s="4"/>
      <c r="S227" s="4"/>
      <c r="T227" s="4"/>
      <c r="U227" s="4"/>
    </row>
    <row r="228" spans="1:21" x14ac:dyDescent="0.2">
      <c r="N228" s="4"/>
      <c r="O228" s="4"/>
      <c r="P228" s="4"/>
      <c r="Q228" s="4"/>
      <c r="R228" s="4"/>
      <c r="S228" s="4"/>
      <c r="T228" s="4"/>
      <c r="U228" s="4"/>
    </row>
    <row r="229" spans="1:21" x14ac:dyDescent="0.2">
      <c r="N229" s="4"/>
      <c r="O229" s="4"/>
      <c r="P229" s="4"/>
      <c r="Q229" s="4"/>
      <c r="R229" s="4"/>
      <c r="S229" s="4"/>
      <c r="T229" s="4"/>
      <c r="U229" s="4"/>
    </row>
    <row r="230" spans="1:21" x14ac:dyDescent="0.2">
      <c r="N230" s="4"/>
      <c r="O230" s="4"/>
      <c r="P230" s="4"/>
      <c r="Q230" s="4"/>
      <c r="R230" s="4"/>
      <c r="S230" s="4"/>
      <c r="T230" s="4"/>
      <c r="U230" s="4"/>
    </row>
    <row r="231" spans="1:21" x14ac:dyDescent="0.2">
      <c r="A231" s="4"/>
      <c r="B231" s="4"/>
      <c r="C231" s="4"/>
      <c r="D231" s="4"/>
      <c r="E231" s="4"/>
    </row>
    <row r="232" spans="1:21" x14ac:dyDescent="0.2">
      <c r="D232" s="4"/>
    </row>
    <row r="233" spans="1:21" x14ac:dyDescent="0.2">
      <c r="D233" s="4"/>
    </row>
  </sheetData>
  <mergeCells count="158">
    <mergeCell ref="O3:O4"/>
    <mergeCell ref="U3:U4"/>
    <mergeCell ref="O5:O7"/>
    <mergeCell ref="U5:U7"/>
    <mergeCell ref="M33:M34"/>
    <mergeCell ref="M35:M37"/>
    <mergeCell ref="G33:G37"/>
    <mergeCell ref="F197:F198"/>
    <mergeCell ref="G197:G198"/>
    <mergeCell ref="H197:H198"/>
    <mergeCell ref="I197:I198"/>
    <mergeCell ref="J197:J198"/>
    <mergeCell ref="J195:J196"/>
    <mergeCell ref="F193:F194"/>
    <mergeCell ref="G193:G194"/>
    <mergeCell ref="H193:H194"/>
    <mergeCell ref="I193:I194"/>
    <mergeCell ref="J193:J194"/>
    <mergeCell ref="J191:J192"/>
    <mergeCell ref="F189:F190"/>
    <mergeCell ref="G189:G190"/>
    <mergeCell ref="H189:H190"/>
    <mergeCell ref="I189:I190"/>
    <mergeCell ref="J189:J190"/>
    <mergeCell ref="A197:A198"/>
    <mergeCell ref="B197:B198"/>
    <mergeCell ref="C197:C198"/>
    <mergeCell ref="D197:D198"/>
    <mergeCell ref="E197:E198"/>
    <mergeCell ref="F195:F196"/>
    <mergeCell ref="G195:G196"/>
    <mergeCell ref="H195:H196"/>
    <mergeCell ref="I195:I196"/>
    <mergeCell ref="A195:A196"/>
    <mergeCell ref="B195:B196"/>
    <mergeCell ref="C195:C196"/>
    <mergeCell ref="D195:D196"/>
    <mergeCell ref="E195:E196"/>
    <mergeCell ref="A193:A194"/>
    <mergeCell ref="B193:B194"/>
    <mergeCell ref="C193:C194"/>
    <mergeCell ref="D193:D194"/>
    <mergeCell ref="E193:E194"/>
    <mergeCell ref="F191:F192"/>
    <mergeCell ref="G191:G192"/>
    <mergeCell ref="H191:H192"/>
    <mergeCell ref="I191:I192"/>
    <mergeCell ref="A191:A192"/>
    <mergeCell ref="B191:B192"/>
    <mergeCell ref="C191:C192"/>
    <mergeCell ref="D191:D192"/>
    <mergeCell ref="E191:E192"/>
    <mergeCell ref="A189:A190"/>
    <mergeCell ref="B189:B190"/>
    <mergeCell ref="C189:C190"/>
    <mergeCell ref="D189:D190"/>
    <mergeCell ref="E189:E190"/>
    <mergeCell ref="F187:F188"/>
    <mergeCell ref="G187:G188"/>
    <mergeCell ref="H187:H188"/>
    <mergeCell ref="I187:I188"/>
    <mergeCell ref="J187:J188"/>
    <mergeCell ref="A187:A188"/>
    <mergeCell ref="B187:B188"/>
    <mergeCell ref="C187:C188"/>
    <mergeCell ref="D187:D188"/>
    <mergeCell ref="E187:E188"/>
    <mergeCell ref="F185:F186"/>
    <mergeCell ref="G185:G186"/>
    <mergeCell ref="H185:H186"/>
    <mergeCell ref="I185:I186"/>
    <mergeCell ref="J185:J186"/>
    <mergeCell ref="A185:A186"/>
    <mergeCell ref="B185:B186"/>
    <mergeCell ref="C185:C186"/>
    <mergeCell ref="D185:D186"/>
    <mergeCell ref="E185:E186"/>
    <mergeCell ref="J181:J182"/>
    <mergeCell ref="A181:A182"/>
    <mergeCell ref="B181:B182"/>
    <mergeCell ref="C181:C182"/>
    <mergeCell ref="D181:D182"/>
    <mergeCell ref="E181:E182"/>
    <mergeCell ref="F183:F184"/>
    <mergeCell ref="G183:G184"/>
    <mergeCell ref="H183:H184"/>
    <mergeCell ref="I183:I184"/>
    <mergeCell ref="J183:J184"/>
    <mergeCell ref="A183:A184"/>
    <mergeCell ref="B183:B184"/>
    <mergeCell ref="C183:C184"/>
    <mergeCell ref="D183:D184"/>
    <mergeCell ref="E183:E184"/>
    <mergeCell ref="A178:A179"/>
    <mergeCell ref="B178:B179"/>
    <mergeCell ref="C178:C179"/>
    <mergeCell ref="D178:D179"/>
    <mergeCell ref="E178:E179"/>
    <mergeCell ref="F181:F182"/>
    <mergeCell ref="G181:G182"/>
    <mergeCell ref="H181:H182"/>
    <mergeCell ref="I181:I182"/>
    <mergeCell ref="H176:H177"/>
    <mergeCell ref="I176:I177"/>
    <mergeCell ref="J176:J177"/>
    <mergeCell ref="E173:E174"/>
    <mergeCell ref="F173:F174"/>
    <mergeCell ref="G173:G174"/>
    <mergeCell ref="H173:H174"/>
    <mergeCell ref="I173:I174"/>
    <mergeCell ref="F178:F179"/>
    <mergeCell ref="G178:G179"/>
    <mergeCell ref="H178:H179"/>
    <mergeCell ref="I178:I179"/>
    <mergeCell ref="J178:J179"/>
    <mergeCell ref="U25:U26"/>
    <mergeCell ref="O27:O29"/>
    <mergeCell ref="U27:U29"/>
    <mergeCell ref="A126:M127"/>
    <mergeCell ref="A135:M136"/>
    <mergeCell ref="K75:R75"/>
    <mergeCell ref="A75:I75"/>
    <mergeCell ref="P82:R82"/>
    <mergeCell ref="A102:M103"/>
    <mergeCell ref="U17:U19"/>
    <mergeCell ref="G20:G21"/>
    <mergeCell ref="M20:M21"/>
    <mergeCell ref="O20:O21"/>
    <mergeCell ref="U20:U21"/>
    <mergeCell ref="U10:U11"/>
    <mergeCell ref="O12:O14"/>
    <mergeCell ref="U12:U14"/>
    <mergeCell ref="G13:G14"/>
    <mergeCell ref="M13:M14"/>
    <mergeCell ref="N179:O179"/>
    <mergeCell ref="A8:K8"/>
    <mergeCell ref="G10:G12"/>
    <mergeCell ref="M10:M12"/>
    <mergeCell ref="O10:O11"/>
    <mergeCell ref="G17:G19"/>
    <mergeCell ref="M17:M19"/>
    <mergeCell ref="O17:O19"/>
    <mergeCell ref="A23:K23"/>
    <mergeCell ref="M26:M27"/>
    <mergeCell ref="O25:O26"/>
    <mergeCell ref="A146:M146"/>
    <mergeCell ref="A173:A174"/>
    <mergeCell ref="B173:B174"/>
    <mergeCell ref="C173:C174"/>
    <mergeCell ref="D173:D174"/>
    <mergeCell ref="J173:J174"/>
    <mergeCell ref="A176:A177"/>
    <mergeCell ref="B176:B177"/>
    <mergeCell ref="C176:C177"/>
    <mergeCell ref="D176:D177"/>
    <mergeCell ref="E176:E177"/>
    <mergeCell ref="F176:F177"/>
    <mergeCell ref="G176:G17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3D9A-D7FB-4457-A73F-F1468F9D0E6E}">
  <dimension ref="A1:AA98"/>
  <sheetViews>
    <sheetView topLeftCell="A21" zoomScale="115" zoomScaleNormal="115" workbookViewId="0">
      <selection activeCell="C45" sqref="C45"/>
    </sheetView>
  </sheetViews>
  <sheetFormatPr defaultRowHeight="14.25" x14ac:dyDescent="0.2"/>
  <cols>
    <col min="1" max="1" width="12.875" style="1" customWidth="1"/>
    <col min="2" max="2" width="17.75" style="1" customWidth="1"/>
    <col min="3" max="3" width="23" style="1" customWidth="1"/>
    <col min="4" max="4" width="115.125" style="1" customWidth="1"/>
    <col min="5" max="5" width="10.875" style="1" customWidth="1"/>
    <col min="6" max="12" width="9" style="1"/>
    <col min="18" max="18" width="45.75" style="1" customWidth="1"/>
    <col min="19" max="16384" width="9" style="1"/>
  </cols>
  <sheetData>
    <row r="1" spans="1:21" x14ac:dyDescent="0.2">
      <c r="A1" s="69"/>
      <c r="B1" s="69"/>
      <c r="C1" s="69"/>
      <c r="D1" s="69"/>
      <c r="E1" s="69"/>
      <c r="F1" s="69"/>
      <c r="G1" s="78"/>
      <c r="H1" s="78"/>
      <c r="I1" s="78"/>
      <c r="J1" s="78"/>
      <c r="R1" s="62"/>
      <c r="S1" s="62"/>
      <c r="T1" s="62"/>
      <c r="U1" s="62"/>
    </row>
    <row r="2" spans="1:21" x14ac:dyDescent="0.2">
      <c r="A2" s="69" t="s">
        <v>318</v>
      </c>
      <c r="B2" s="69" t="s">
        <v>319</v>
      </c>
      <c r="C2" s="69">
        <v>2</v>
      </c>
      <c r="D2" s="69" t="s">
        <v>320</v>
      </c>
      <c r="E2" s="69"/>
      <c r="F2" s="69"/>
      <c r="G2" s="78"/>
      <c r="H2" s="78"/>
      <c r="I2" s="78"/>
      <c r="J2" s="78"/>
      <c r="R2" s="62"/>
    </row>
    <row r="3" spans="1:21" x14ac:dyDescent="0.2">
      <c r="A3" s="69"/>
      <c r="B3" s="69" t="s">
        <v>321</v>
      </c>
      <c r="C3" s="69">
        <v>2</v>
      </c>
      <c r="D3" s="69" t="s">
        <v>322</v>
      </c>
      <c r="E3" s="69"/>
      <c r="F3" s="69"/>
      <c r="G3" s="69"/>
      <c r="H3" s="69"/>
      <c r="I3" s="69"/>
      <c r="J3" s="69"/>
      <c r="R3" s="62"/>
    </row>
    <row r="4" spans="1:21" x14ac:dyDescent="0.2">
      <c r="A4" s="69"/>
      <c r="B4" s="69" t="s">
        <v>324</v>
      </c>
      <c r="C4" s="69">
        <v>1</v>
      </c>
      <c r="D4" s="69" t="s">
        <v>325</v>
      </c>
      <c r="E4" s="69"/>
      <c r="F4" s="69"/>
      <c r="G4" s="69"/>
      <c r="H4" s="69"/>
      <c r="I4" s="69"/>
      <c r="J4" s="69"/>
      <c r="R4" s="62"/>
    </row>
    <row r="5" spans="1:21" x14ac:dyDescent="0.2">
      <c r="A5" s="69"/>
      <c r="B5" s="69" t="s">
        <v>326</v>
      </c>
      <c r="C5" s="69">
        <v>1</v>
      </c>
      <c r="D5" s="69" t="s">
        <v>327</v>
      </c>
      <c r="E5" s="69"/>
      <c r="F5" s="69"/>
      <c r="G5" s="69"/>
      <c r="H5" s="69"/>
      <c r="I5" s="69"/>
      <c r="J5" s="69"/>
      <c r="R5" s="62"/>
    </row>
    <row r="6" spans="1:21" x14ac:dyDescent="0.2">
      <c r="A6" s="69"/>
      <c r="B6" s="69" t="s">
        <v>353</v>
      </c>
      <c r="C6" s="69">
        <v>7</v>
      </c>
      <c r="D6" s="69" t="s">
        <v>355</v>
      </c>
      <c r="E6" s="69"/>
      <c r="F6" s="69"/>
      <c r="G6" s="69"/>
      <c r="H6" s="69"/>
      <c r="I6" s="69"/>
      <c r="J6" s="69"/>
      <c r="R6" s="62"/>
    </row>
    <row r="7" spans="1:21" x14ac:dyDescent="0.2">
      <c r="A7" s="69"/>
      <c r="B7" s="69" t="s">
        <v>354</v>
      </c>
      <c r="C7" s="69">
        <v>7</v>
      </c>
      <c r="D7" s="69"/>
      <c r="E7" s="69"/>
      <c r="F7" s="69"/>
      <c r="G7" s="69"/>
      <c r="H7" s="69"/>
      <c r="I7" s="69"/>
      <c r="J7" s="69"/>
      <c r="R7" s="62"/>
    </row>
    <row r="8" spans="1:21" x14ac:dyDescent="0.2">
      <c r="A8" s="69"/>
      <c r="B8" s="84" t="s">
        <v>538</v>
      </c>
      <c r="C8" s="84" t="s">
        <v>539</v>
      </c>
      <c r="D8" s="84" t="s">
        <v>540</v>
      </c>
      <c r="E8" s="69"/>
      <c r="F8" s="69"/>
      <c r="G8" s="69"/>
      <c r="H8" s="69"/>
      <c r="I8" s="69"/>
      <c r="J8" s="69"/>
      <c r="R8" s="62"/>
    </row>
    <row r="9" spans="1:21" x14ac:dyDescent="0.2">
      <c r="A9" s="69" t="s">
        <v>441</v>
      </c>
      <c r="B9" s="69" t="s">
        <v>449</v>
      </c>
      <c r="C9" s="69">
        <v>2</v>
      </c>
      <c r="D9" s="69" t="s">
        <v>450</v>
      </c>
      <c r="E9" s="69"/>
      <c r="F9" s="69"/>
      <c r="G9" s="69"/>
      <c r="H9" s="69"/>
      <c r="I9" s="69"/>
      <c r="J9" s="69"/>
      <c r="R9" s="62"/>
    </row>
    <row r="10" spans="1:21" x14ac:dyDescent="0.2">
      <c r="A10" s="69"/>
      <c r="B10" s="69" t="s">
        <v>402</v>
      </c>
      <c r="C10" s="69">
        <v>6</v>
      </c>
      <c r="D10" s="69" t="s">
        <v>451</v>
      </c>
      <c r="E10" s="69"/>
      <c r="F10" s="69"/>
      <c r="G10" s="69"/>
      <c r="H10" s="69"/>
      <c r="I10" s="69"/>
      <c r="J10" s="69"/>
      <c r="R10" s="62"/>
    </row>
    <row r="11" spans="1:21" x14ac:dyDescent="0.2">
      <c r="A11" s="69"/>
      <c r="B11" s="66" t="s">
        <v>481</v>
      </c>
      <c r="C11" s="69">
        <v>1</v>
      </c>
      <c r="D11" s="69" t="s">
        <v>454</v>
      </c>
      <c r="E11" s="69"/>
      <c r="F11" s="69"/>
      <c r="G11" s="69"/>
      <c r="H11" s="69"/>
      <c r="I11" s="69"/>
      <c r="J11" s="69"/>
      <c r="R11" s="62"/>
    </row>
    <row r="12" spans="1:21" x14ac:dyDescent="0.2">
      <c r="A12" s="69"/>
      <c r="B12" s="66" t="s">
        <v>482</v>
      </c>
      <c r="C12" s="69">
        <v>1</v>
      </c>
      <c r="D12" s="66" t="s">
        <v>483</v>
      </c>
      <c r="E12" s="69"/>
      <c r="F12" s="69"/>
      <c r="G12" s="69"/>
      <c r="H12" s="69"/>
      <c r="I12" s="69"/>
      <c r="J12" s="69"/>
      <c r="R12" s="62"/>
    </row>
    <row r="13" spans="1:21" x14ac:dyDescent="0.2">
      <c r="A13" s="69"/>
      <c r="B13" s="69"/>
      <c r="C13" s="69"/>
      <c r="D13" s="69"/>
      <c r="E13" s="69"/>
      <c r="F13" s="69"/>
      <c r="G13" s="69"/>
      <c r="H13" s="69"/>
      <c r="I13" s="69"/>
      <c r="J13" s="69"/>
      <c r="R13" s="62"/>
      <c r="S13" s="62"/>
      <c r="T13" s="62"/>
      <c r="U13" s="62"/>
    </row>
    <row r="14" spans="1:21" x14ac:dyDescent="0.2">
      <c r="A14" s="69" t="s">
        <v>448</v>
      </c>
      <c r="B14" s="69" t="s">
        <v>449</v>
      </c>
      <c r="C14" s="69">
        <v>2</v>
      </c>
      <c r="D14" s="69" t="s">
        <v>450</v>
      </c>
      <c r="E14" s="69"/>
      <c r="F14" s="69"/>
      <c r="G14" s="69"/>
      <c r="H14" s="69"/>
      <c r="I14" s="69"/>
      <c r="J14" s="69"/>
      <c r="S14" s="62"/>
      <c r="T14" s="62"/>
      <c r="U14" s="62"/>
    </row>
    <row r="15" spans="1:21" x14ac:dyDescent="0.2">
      <c r="A15" s="69"/>
      <c r="B15" s="69" t="s">
        <v>402</v>
      </c>
      <c r="C15" s="69">
        <v>6</v>
      </c>
      <c r="D15" s="69" t="s">
        <v>451</v>
      </c>
      <c r="E15" s="69"/>
      <c r="F15" s="69"/>
      <c r="G15" s="69"/>
      <c r="H15" s="69"/>
      <c r="I15" s="69"/>
      <c r="J15" s="69"/>
      <c r="S15" s="62"/>
      <c r="T15" s="62"/>
      <c r="U15" s="62"/>
    </row>
    <row r="16" spans="1:21" x14ac:dyDescent="0.2">
      <c r="A16" s="69"/>
      <c r="B16" s="69" t="s">
        <v>432</v>
      </c>
      <c r="C16" s="69">
        <v>1</v>
      </c>
      <c r="D16" s="106" t="s">
        <v>627</v>
      </c>
      <c r="E16" s="69"/>
      <c r="F16" s="69"/>
      <c r="G16" s="69"/>
      <c r="H16" s="69"/>
      <c r="I16" s="69"/>
      <c r="J16" s="69"/>
      <c r="S16" s="62"/>
      <c r="T16" s="62"/>
      <c r="U16" s="62"/>
    </row>
    <row r="17" spans="1:21" ht="38.25" x14ac:dyDescent="0.2">
      <c r="A17" s="69"/>
      <c r="B17" s="66" t="s">
        <v>411</v>
      </c>
      <c r="C17" s="66" t="s">
        <v>600</v>
      </c>
      <c r="D17" s="85" t="s">
        <v>628</v>
      </c>
      <c r="E17" s="69"/>
      <c r="F17" s="69"/>
      <c r="G17" s="69"/>
      <c r="H17" s="69"/>
      <c r="I17" s="69"/>
      <c r="J17" s="69"/>
      <c r="S17" s="62"/>
      <c r="T17" s="62"/>
      <c r="U17" s="62"/>
    </row>
    <row r="18" spans="1:21" x14ac:dyDescent="0.2">
      <c r="A18" s="69"/>
      <c r="B18" s="69" t="s">
        <v>330</v>
      </c>
      <c r="C18" s="69">
        <v>1</v>
      </c>
      <c r="D18" s="69"/>
      <c r="E18" s="69"/>
      <c r="F18" s="69"/>
      <c r="G18" s="69"/>
      <c r="H18" s="69"/>
      <c r="I18" s="69"/>
      <c r="J18" s="69"/>
      <c r="R18" s="62"/>
      <c r="S18" s="62"/>
      <c r="T18" s="62"/>
      <c r="U18" s="62"/>
    </row>
    <row r="19" spans="1:21" x14ac:dyDescent="0.2">
      <c r="A19" s="69"/>
      <c r="B19" s="69" t="s">
        <v>331</v>
      </c>
      <c r="C19" s="69">
        <v>1</v>
      </c>
      <c r="D19" s="69"/>
      <c r="E19" s="69"/>
      <c r="F19" s="69"/>
      <c r="G19" s="69"/>
      <c r="H19" s="69"/>
      <c r="I19" s="69"/>
      <c r="J19" s="69"/>
      <c r="R19" s="62"/>
      <c r="S19" s="62"/>
      <c r="T19" s="62"/>
      <c r="U19" s="62"/>
    </row>
    <row r="20" spans="1:21" x14ac:dyDescent="0.2">
      <c r="A20" s="69"/>
      <c r="B20" s="69" t="s">
        <v>336</v>
      </c>
      <c r="C20" s="69">
        <v>2</v>
      </c>
      <c r="D20" s="69"/>
      <c r="E20" s="69"/>
      <c r="F20" s="69"/>
      <c r="G20" s="69"/>
      <c r="H20" s="69"/>
      <c r="I20" s="69"/>
      <c r="J20" s="69"/>
      <c r="R20" s="62"/>
      <c r="S20" s="62"/>
      <c r="T20" s="62"/>
      <c r="U20" s="62"/>
    </row>
    <row r="21" spans="1:21" x14ac:dyDescent="0.2">
      <c r="A21" s="69"/>
      <c r="B21" s="69" t="s">
        <v>337</v>
      </c>
      <c r="C21" s="69">
        <v>2</v>
      </c>
      <c r="D21" s="69"/>
      <c r="E21" s="69"/>
      <c r="F21" s="69"/>
      <c r="G21" s="69"/>
      <c r="H21" s="69"/>
      <c r="I21" s="69"/>
      <c r="J21" s="69"/>
      <c r="R21" s="62"/>
      <c r="S21" s="62"/>
      <c r="T21" s="62"/>
      <c r="U21" s="62"/>
    </row>
    <row r="22" spans="1:21" x14ac:dyDescent="0.2">
      <c r="A22" s="69"/>
      <c r="B22" s="69" t="s">
        <v>332</v>
      </c>
      <c r="C22" s="69">
        <v>11</v>
      </c>
      <c r="D22" s="69"/>
      <c r="E22" s="69"/>
      <c r="F22" s="69"/>
      <c r="G22" s="69"/>
      <c r="H22" s="69"/>
      <c r="I22" s="69"/>
      <c r="J22" s="69"/>
      <c r="R22" s="62"/>
      <c r="S22" s="62"/>
      <c r="T22" s="62"/>
      <c r="U22" s="62"/>
    </row>
    <row r="23" spans="1:21" x14ac:dyDescent="0.2">
      <c r="A23" s="69"/>
      <c r="B23" s="69" t="s">
        <v>333</v>
      </c>
      <c r="C23" s="69">
        <v>11</v>
      </c>
      <c r="D23" s="69"/>
      <c r="E23" s="69"/>
      <c r="F23" s="69"/>
      <c r="G23" s="69"/>
      <c r="H23" s="69"/>
      <c r="I23" s="69"/>
      <c r="J23" s="69"/>
      <c r="R23" s="62"/>
      <c r="S23" s="62"/>
      <c r="T23" s="62"/>
      <c r="U23" s="62"/>
    </row>
    <row r="24" spans="1:21" x14ac:dyDescent="0.2">
      <c r="A24" s="69"/>
      <c r="B24" s="69" t="s">
        <v>334</v>
      </c>
      <c r="C24" s="69">
        <v>11</v>
      </c>
      <c r="D24" s="69"/>
      <c r="E24" s="69"/>
      <c r="F24" s="69"/>
      <c r="G24" s="69"/>
      <c r="H24" s="69"/>
      <c r="I24" s="69"/>
      <c r="J24" s="69"/>
      <c r="R24" s="62"/>
      <c r="S24" s="62"/>
      <c r="T24" s="62"/>
      <c r="U24" s="62"/>
    </row>
    <row r="25" spans="1:21" x14ac:dyDescent="0.2">
      <c r="A25" s="69"/>
      <c r="B25" s="69" t="s">
        <v>335</v>
      </c>
      <c r="C25" s="69">
        <v>11</v>
      </c>
      <c r="D25" s="69"/>
      <c r="E25" s="69"/>
      <c r="F25" s="69"/>
      <c r="G25" s="69"/>
      <c r="H25" s="69"/>
      <c r="I25" s="69"/>
      <c r="J25" s="69"/>
      <c r="R25" s="62"/>
      <c r="S25" s="62"/>
      <c r="T25" s="62"/>
      <c r="U25" s="62"/>
    </row>
    <row r="26" spans="1:21" x14ac:dyDescent="0.2">
      <c r="A26" s="69"/>
      <c r="B26" s="69"/>
      <c r="C26" s="69"/>
      <c r="D26" s="69"/>
      <c r="E26" s="69"/>
      <c r="F26" s="69"/>
      <c r="G26" s="69"/>
      <c r="H26" s="69"/>
      <c r="I26" s="69"/>
      <c r="J26" s="69"/>
      <c r="R26" s="62"/>
      <c r="S26" s="62"/>
      <c r="T26" s="62"/>
      <c r="U26" s="62"/>
    </row>
    <row r="27" spans="1:21" x14ac:dyDescent="0.2">
      <c r="A27" s="69"/>
      <c r="B27" s="69"/>
      <c r="C27" s="69"/>
      <c r="D27" s="69"/>
      <c r="E27" s="69"/>
      <c r="F27" s="69"/>
      <c r="G27" s="69"/>
      <c r="H27" s="69"/>
      <c r="I27" s="69"/>
      <c r="J27" s="69"/>
      <c r="R27" s="62"/>
      <c r="S27" s="62"/>
      <c r="T27" s="62"/>
      <c r="U27" s="62"/>
    </row>
    <row r="28" spans="1:21" x14ac:dyDescent="0.2">
      <c r="A28" s="69" t="s">
        <v>362</v>
      </c>
      <c r="B28" s="69" t="s">
        <v>457</v>
      </c>
      <c r="C28" s="69">
        <v>4</v>
      </c>
      <c r="D28" s="69" t="s">
        <v>276</v>
      </c>
      <c r="E28" s="69"/>
      <c r="F28" s="69"/>
      <c r="G28" s="69"/>
      <c r="H28" s="69"/>
      <c r="I28" s="69"/>
      <c r="J28" s="69"/>
      <c r="R28" s="62"/>
      <c r="S28" s="62"/>
      <c r="T28" s="62"/>
      <c r="U28" s="62"/>
    </row>
    <row r="29" spans="1:21" x14ac:dyDescent="0.2">
      <c r="A29" s="69"/>
      <c r="B29" s="69" t="s">
        <v>458</v>
      </c>
      <c r="C29" s="69">
        <v>4</v>
      </c>
      <c r="D29" s="69" t="s">
        <v>276</v>
      </c>
      <c r="E29" s="69"/>
      <c r="F29" s="69"/>
      <c r="G29" s="69"/>
      <c r="H29" s="69"/>
      <c r="I29" s="69"/>
      <c r="J29" s="69"/>
      <c r="R29" s="62"/>
      <c r="S29" s="62"/>
      <c r="T29" s="62"/>
      <c r="U29" s="62"/>
    </row>
    <row r="30" spans="1:21" x14ac:dyDescent="0.2">
      <c r="A30" s="69"/>
      <c r="B30" s="66" t="s">
        <v>469</v>
      </c>
      <c r="C30" s="69">
        <v>2</v>
      </c>
      <c r="D30" s="66" t="s">
        <v>450</v>
      </c>
      <c r="E30" s="69"/>
      <c r="F30" s="69"/>
      <c r="G30" s="69"/>
      <c r="H30" s="69"/>
      <c r="I30" s="69"/>
      <c r="J30" s="69"/>
      <c r="R30" s="62"/>
      <c r="S30" s="62"/>
      <c r="T30" s="62"/>
      <c r="U30" s="62"/>
    </row>
    <row r="31" spans="1:21" x14ac:dyDescent="0.2">
      <c r="A31" s="69"/>
      <c r="B31" s="69" t="s">
        <v>459</v>
      </c>
      <c r="C31" s="69">
        <v>2</v>
      </c>
      <c r="D31" s="69" t="s">
        <v>460</v>
      </c>
      <c r="E31" s="69"/>
      <c r="F31" s="69"/>
      <c r="G31" s="69"/>
      <c r="H31" s="69"/>
      <c r="I31" s="69"/>
      <c r="J31" s="69"/>
      <c r="R31" s="62"/>
      <c r="S31" s="62"/>
      <c r="T31" s="62"/>
      <c r="U31" s="62"/>
    </row>
    <row r="32" spans="1:21" x14ac:dyDescent="0.2">
      <c r="A32" s="69"/>
      <c r="B32" s="69" t="s">
        <v>363</v>
      </c>
      <c r="C32" s="69">
        <v>3</v>
      </c>
      <c r="D32" s="66" t="s">
        <v>410</v>
      </c>
      <c r="E32" s="69"/>
      <c r="F32" s="69"/>
      <c r="G32" s="69"/>
      <c r="H32" s="69"/>
      <c r="I32" s="69"/>
      <c r="J32" s="69"/>
      <c r="R32" s="62"/>
      <c r="S32" s="62"/>
      <c r="T32" s="62"/>
      <c r="U32" s="62"/>
    </row>
    <row r="33" spans="1:27" x14ac:dyDescent="0.2">
      <c r="A33" s="69"/>
      <c r="B33" s="66" t="s">
        <v>475</v>
      </c>
      <c r="C33" s="66" t="s">
        <v>476</v>
      </c>
      <c r="D33" s="66"/>
      <c r="E33" s="69"/>
      <c r="F33" s="69"/>
      <c r="G33" s="69"/>
      <c r="H33" s="69"/>
      <c r="I33" s="69"/>
      <c r="J33" s="69"/>
      <c r="R33" s="62"/>
      <c r="S33" s="62"/>
      <c r="T33" s="62"/>
      <c r="U33" s="62"/>
    </row>
    <row r="34" spans="1:27" x14ac:dyDescent="0.2">
      <c r="A34" s="69"/>
      <c r="B34" s="66" t="s">
        <v>472</v>
      </c>
      <c r="C34" s="69">
        <v>1</v>
      </c>
      <c r="D34" s="66" t="s">
        <v>473</v>
      </c>
      <c r="E34" s="69"/>
      <c r="F34" s="69"/>
      <c r="G34" s="69"/>
      <c r="H34" s="69"/>
      <c r="I34" s="69"/>
      <c r="J34" s="69"/>
      <c r="R34" s="62"/>
      <c r="S34" s="62"/>
      <c r="T34" s="62"/>
      <c r="U34" s="62"/>
    </row>
    <row r="35" spans="1:27" x14ac:dyDescent="0.2">
      <c r="A35" s="69"/>
      <c r="B35" s="66" t="s">
        <v>470</v>
      </c>
      <c r="C35" s="69">
        <v>1</v>
      </c>
      <c r="D35" s="66"/>
      <c r="E35" s="69"/>
      <c r="F35" s="69"/>
      <c r="G35" s="69"/>
      <c r="H35" s="69"/>
      <c r="I35" s="69"/>
      <c r="J35" s="69"/>
      <c r="R35" s="62"/>
      <c r="S35" s="62"/>
      <c r="T35" s="62"/>
      <c r="U35" s="62"/>
    </row>
    <row r="36" spans="1:27" x14ac:dyDescent="0.2">
      <c r="A36" s="69"/>
      <c r="B36" s="69" t="s">
        <v>330</v>
      </c>
      <c r="C36" s="69">
        <v>1</v>
      </c>
      <c r="D36" s="69"/>
      <c r="E36" s="69"/>
      <c r="F36" s="69"/>
      <c r="G36" s="69"/>
      <c r="H36" s="69"/>
      <c r="I36" s="69"/>
      <c r="J36" s="69"/>
      <c r="R36" s="62"/>
      <c r="S36" s="62"/>
      <c r="T36" s="62"/>
      <c r="U36" s="62"/>
    </row>
    <row r="37" spans="1:27" x14ac:dyDescent="0.2">
      <c r="A37" s="69"/>
      <c r="B37" s="69" t="s">
        <v>331</v>
      </c>
      <c r="C37" s="69">
        <v>1</v>
      </c>
      <c r="D37" s="69"/>
      <c r="E37" s="69"/>
      <c r="F37" s="69"/>
      <c r="G37" s="69"/>
      <c r="H37" s="69"/>
      <c r="I37" s="69"/>
      <c r="J37" s="69"/>
      <c r="R37" s="62"/>
      <c r="S37" s="62"/>
      <c r="T37" s="62"/>
      <c r="U37" s="62"/>
    </row>
    <row r="38" spans="1:27" x14ac:dyDescent="0.2">
      <c r="A38" s="69"/>
      <c r="B38" s="69" t="s">
        <v>336</v>
      </c>
      <c r="C38" s="69">
        <v>3</v>
      </c>
      <c r="D38" s="69"/>
      <c r="E38" s="69"/>
      <c r="F38" s="69"/>
      <c r="G38" s="70"/>
      <c r="H38" s="70"/>
      <c r="I38" s="70"/>
      <c r="J38" s="70"/>
      <c r="R38" s="62"/>
      <c r="S38" s="62"/>
      <c r="T38" s="62"/>
      <c r="U38" s="62"/>
    </row>
    <row r="39" spans="1:27" x14ac:dyDescent="0.2">
      <c r="A39" s="69"/>
      <c r="B39" s="69" t="s">
        <v>337</v>
      </c>
      <c r="C39" s="69">
        <v>3</v>
      </c>
      <c r="D39" s="69"/>
      <c r="E39" s="69"/>
      <c r="F39" s="69"/>
      <c r="G39" s="70"/>
      <c r="H39" s="70"/>
      <c r="I39" s="70"/>
      <c r="J39" s="70"/>
      <c r="R39" s="62"/>
      <c r="S39" s="62"/>
      <c r="T39" s="62"/>
      <c r="U39" s="62"/>
    </row>
    <row r="40" spans="1:27" x14ac:dyDescent="0.2">
      <c r="A40" s="69"/>
      <c r="B40" s="69" t="s">
        <v>364</v>
      </c>
      <c r="C40" s="69">
        <v>16</v>
      </c>
      <c r="D40" s="69"/>
      <c r="E40" s="69"/>
      <c r="F40" s="70"/>
      <c r="G40" s="70"/>
      <c r="H40" s="70"/>
      <c r="I40" s="70"/>
      <c r="J40" s="70"/>
      <c r="R40" s="62"/>
      <c r="S40" s="62"/>
      <c r="T40" s="62"/>
      <c r="U40" s="62"/>
      <c r="W40" s="62"/>
      <c r="X40" s="62"/>
      <c r="Y40" s="62"/>
      <c r="Z40" s="62"/>
      <c r="AA40" s="62"/>
    </row>
    <row r="41" spans="1:27" x14ac:dyDescent="0.2">
      <c r="A41" s="69"/>
      <c r="B41" s="69" t="s">
        <v>365</v>
      </c>
      <c r="C41" s="69">
        <v>16</v>
      </c>
      <c r="D41" s="69"/>
      <c r="E41" s="69"/>
      <c r="F41" s="70"/>
      <c r="G41" s="70"/>
      <c r="H41" s="70"/>
      <c r="I41" s="70"/>
      <c r="J41" s="70"/>
      <c r="R41" s="62"/>
      <c r="S41" s="62"/>
      <c r="T41" s="62"/>
      <c r="U41" s="62"/>
    </row>
    <row r="42" spans="1:27" x14ac:dyDescent="0.2">
      <c r="A42" s="69"/>
      <c r="B42" s="69" t="s">
        <v>366</v>
      </c>
      <c r="C42" s="69">
        <v>16</v>
      </c>
      <c r="D42" s="69"/>
      <c r="E42" s="69"/>
      <c r="F42" s="70"/>
      <c r="G42" s="70"/>
      <c r="H42" s="70"/>
      <c r="I42" s="70"/>
      <c r="J42" s="70"/>
      <c r="R42" s="62"/>
      <c r="S42" s="62"/>
      <c r="T42" s="62"/>
      <c r="U42" s="62"/>
    </row>
    <row r="43" spans="1:27" x14ac:dyDescent="0.2">
      <c r="A43" s="69"/>
      <c r="B43" s="69" t="s">
        <v>367</v>
      </c>
      <c r="C43" s="69">
        <v>16</v>
      </c>
      <c r="D43" s="69"/>
      <c r="E43" s="69"/>
      <c r="F43" s="70"/>
      <c r="G43" s="70"/>
      <c r="H43" s="70"/>
      <c r="I43" s="70"/>
      <c r="J43" s="70"/>
      <c r="R43" s="62"/>
      <c r="S43" s="62"/>
      <c r="T43" s="62"/>
      <c r="U43" s="62"/>
    </row>
    <row r="44" spans="1:27" x14ac:dyDescent="0.2">
      <c r="A44" s="69"/>
      <c r="B44" s="69" t="s">
        <v>411</v>
      </c>
      <c r="C44" s="69">
        <v>3</v>
      </c>
      <c r="D44" s="69"/>
      <c r="E44" s="69"/>
      <c r="F44" s="70"/>
      <c r="G44" s="70"/>
      <c r="H44" s="70"/>
      <c r="I44" s="70"/>
      <c r="J44" s="70"/>
      <c r="R44" s="62"/>
      <c r="S44" s="62"/>
      <c r="T44" s="62"/>
      <c r="U44" s="62"/>
    </row>
    <row r="45" spans="1:27" x14ac:dyDescent="0.2">
      <c r="A45" s="69"/>
      <c r="B45" s="69"/>
      <c r="C45" s="69"/>
      <c r="D45" s="69"/>
      <c r="E45" s="69"/>
      <c r="F45" s="70"/>
      <c r="G45" s="70"/>
      <c r="H45" s="70"/>
      <c r="I45" s="70"/>
      <c r="J45" s="70"/>
      <c r="R45" s="62"/>
      <c r="S45" s="62"/>
      <c r="T45" s="62"/>
      <c r="U45" s="62"/>
    </row>
    <row r="46" spans="1:27" x14ac:dyDescent="0.2">
      <c r="A46" s="69" t="s">
        <v>409</v>
      </c>
      <c r="B46" s="66" t="s">
        <v>457</v>
      </c>
      <c r="C46" s="69">
        <v>4</v>
      </c>
      <c r="D46" s="69"/>
      <c r="E46" s="70"/>
      <c r="F46" s="70"/>
      <c r="G46" s="70"/>
      <c r="H46" s="70"/>
      <c r="I46" s="70"/>
      <c r="L46"/>
      <c r="Q46" s="62"/>
      <c r="R46" s="62"/>
      <c r="S46" s="62"/>
      <c r="T46" s="62"/>
    </row>
    <row r="47" spans="1:27" x14ac:dyDescent="0.2">
      <c r="A47" s="69"/>
      <c r="B47" s="66" t="s">
        <v>458</v>
      </c>
      <c r="C47" s="69">
        <v>4</v>
      </c>
      <c r="D47" s="69"/>
      <c r="E47" s="70"/>
      <c r="F47" s="70"/>
      <c r="G47" s="70"/>
      <c r="H47" s="70"/>
      <c r="I47" s="70"/>
      <c r="L47"/>
      <c r="Q47" s="62"/>
      <c r="R47" s="62"/>
      <c r="S47" s="62"/>
      <c r="T47" s="62"/>
    </row>
    <row r="48" spans="1:27" x14ac:dyDescent="0.2">
      <c r="A48" s="69"/>
      <c r="B48" s="66" t="s">
        <v>459</v>
      </c>
      <c r="C48" s="69">
        <v>2</v>
      </c>
      <c r="D48" s="69"/>
      <c r="E48" s="70"/>
      <c r="F48" s="70"/>
      <c r="G48" s="70"/>
      <c r="H48" s="70"/>
      <c r="I48" s="70"/>
      <c r="L48"/>
      <c r="Q48" s="62"/>
      <c r="R48" s="62"/>
      <c r="S48" s="62"/>
      <c r="T48" s="62"/>
    </row>
    <row r="49" spans="1:20" x14ac:dyDescent="0.2">
      <c r="A49" s="69"/>
      <c r="B49" s="66" t="s">
        <v>471</v>
      </c>
      <c r="C49" s="69">
        <v>2</v>
      </c>
      <c r="D49" s="69"/>
      <c r="E49" s="70"/>
      <c r="F49" s="70"/>
      <c r="G49" s="70"/>
      <c r="H49" s="70"/>
      <c r="I49" s="70"/>
      <c r="L49"/>
      <c r="Q49" s="62"/>
      <c r="R49" s="62"/>
      <c r="S49" s="62"/>
      <c r="T49" s="62"/>
    </row>
    <row r="50" spans="1:20" ht="14.25" customHeight="1" x14ac:dyDescent="0.2">
      <c r="A50" s="69"/>
      <c r="B50" s="69"/>
      <c r="C50" s="69"/>
      <c r="D50" s="69"/>
      <c r="E50" s="70"/>
      <c r="F50" s="70"/>
      <c r="G50" s="70"/>
      <c r="H50" s="70"/>
      <c r="I50" s="70"/>
      <c r="L50"/>
      <c r="Q50" s="62"/>
      <c r="R50" s="62"/>
      <c r="S50" s="62"/>
      <c r="T50" s="62"/>
    </row>
    <row r="51" spans="1:20" ht="14.25" customHeight="1" thickBot="1" x14ac:dyDescent="0.25">
      <c r="A51" s="69"/>
      <c r="B51" s="69"/>
      <c r="C51" s="69"/>
      <c r="D51" s="69"/>
      <c r="E51" s="70"/>
      <c r="F51" s="70"/>
      <c r="G51" s="70"/>
      <c r="H51" s="70"/>
      <c r="I51" s="70"/>
      <c r="L51"/>
      <c r="Q51" s="62"/>
      <c r="R51" s="62"/>
      <c r="S51" s="62"/>
      <c r="T51" s="62"/>
    </row>
    <row r="52" spans="1:20" ht="14.25" customHeight="1" thickBot="1" x14ac:dyDescent="0.25">
      <c r="A52" s="69" t="s">
        <v>414</v>
      </c>
      <c r="B52" s="69" t="s">
        <v>461</v>
      </c>
      <c r="C52" s="69">
        <v>6</v>
      </c>
      <c r="D52" s="82" t="s">
        <v>516</v>
      </c>
      <c r="E52" s="70"/>
      <c r="F52" s="70"/>
      <c r="G52" s="70"/>
      <c r="H52" s="70"/>
      <c r="I52" s="70"/>
      <c r="L52"/>
      <c r="Q52" s="74"/>
      <c r="R52" s="62"/>
      <c r="S52" s="62"/>
      <c r="T52" s="62"/>
    </row>
    <row r="53" spans="1:20" ht="14.25" customHeight="1" thickBot="1" x14ac:dyDescent="0.25">
      <c r="A53" s="69"/>
      <c r="B53" s="69" t="s">
        <v>462</v>
      </c>
      <c r="C53" s="69">
        <v>2</v>
      </c>
      <c r="D53" s="85" t="s">
        <v>515</v>
      </c>
      <c r="E53" s="70"/>
      <c r="F53" s="70"/>
      <c r="G53" s="70"/>
      <c r="H53" s="70"/>
      <c r="I53" s="70"/>
      <c r="L53"/>
      <c r="Q53" s="76"/>
      <c r="R53" s="62"/>
      <c r="S53" s="62"/>
      <c r="T53" s="62"/>
    </row>
    <row r="54" spans="1:20" ht="14.25" customHeight="1" thickBot="1" x14ac:dyDescent="0.25">
      <c r="A54" s="69"/>
      <c r="B54" s="69" t="s">
        <v>463</v>
      </c>
      <c r="C54" s="69">
        <v>4</v>
      </c>
      <c r="D54" s="82" t="s">
        <v>513</v>
      </c>
      <c r="E54" s="70"/>
      <c r="F54" s="70"/>
      <c r="G54" s="70"/>
      <c r="H54" s="70"/>
      <c r="I54" s="70"/>
      <c r="L54"/>
      <c r="Q54" s="73"/>
      <c r="R54" s="62"/>
      <c r="S54" s="62"/>
      <c r="T54" s="62"/>
    </row>
    <row r="55" spans="1:20" ht="14.25" customHeight="1" thickBot="1" x14ac:dyDescent="0.25">
      <c r="A55" s="69"/>
      <c r="B55" s="69" t="s">
        <v>464</v>
      </c>
      <c r="C55" s="69">
        <v>4</v>
      </c>
      <c r="D55" s="82" t="s">
        <v>514</v>
      </c>
      <c r="E55" s="70"/>
      <c r="F55" s="70"/>
      <c r="G55" s="70"/>
      <c r="H55" s="70"/>
      <c r="I55" s="70"/>
      <c r="L55"/>
      <c r="Q55" s="77"/>
      <c r="R55" s="62"/>
      <c r="S55" s="62"/>
      <c r="T55" s="62"/>
    </row>
    <row r="56" spans="1:20" ht="14.25" customHeight="1" thickBot="1" x14ac:dyDescent="0.25">
      <c r="A56" s="69"/>
      <c r="B56" s="66" t="s">
        <v>477</v>
      </c>
      <c r="C56" s="69">
        <v>2</v>
      </c>
      <c r="D56" s="66" t="s">
        <v>512</v>
      </c>
      <c r="E56" s="70"/>
      <c r="F56" s="70"/>
      <c r="G56" s="70"/>
      <c r="H56" s="70"/>
      <c r="I56" s="70"/>
      <c r="L56"/>
      <c r="Q56" s="76"/>
      <c r="S56" s="62"/>
      <c r="T56" s="62"/>
    </row>
    <row r="57" spans="1:20" ht="14.25" customHeight="1" thickBot="1" x14ac:dyDescent="0.25">
      <c r="A57" s="69"/>
      <c r="B57" s="69" t="s">
        <v>465</v>
      </c>
      <c r="C57" s="69">
        <v>2</v>
      </c>
      <c r="D57" s="85" t="s">
        <v>511</v>
      </c>
      <c r="E57" s="70"/>
      <c r="F57" s="70"/>
      <c r="G57" s="70"/>
      <c r="H57" s="70"/>
      <c r="I57" s="70"/>
      <c r="L57"/>
      <c r="Q57" s="76"/>
      <c r="S57" s="62"/>
      <c r="T57" s="62"/>
    </row>
    <row r="58" spans="1:20" ht="14.25" customHeight="1" thickBot="1" x14ac:dyDescent="0.25">
      <c r="A58" s="69"/>
      <c r="B58" s="69" t="s">
        <v>466</v>
      </c>
      <c r="C58" s="69">
        <v>1</v>
      </c>
      <c r="D58" s="82" t="s">
        <v>510</v>
      </c>
      <c r="E58" s="70"/>
      <c r="F58" s="70"/>
      <c r="G58" s="70"/>
      <c r="H58" s="70"/>
      <c r="I58" s="70"/>
      <c r="L58"/>
      <c r="Q58" s="73"/>
    </row>
    <row r="59" spans="1:20" ht="14.25" customHeight="1" thickBot="1" x14ac:dyDescent="0.25">
      <c r="A59" s="69"/>
      <c r="B59" s="69" t="s">
        <v>467</v>
      </c>
      <c r="C59" s="69">
        <v>2</v>
      </c>
      <c r="D59" s="85" t="s">
        <v>509</v>
      </c>
      <c r="E59" s="70"/>
      <c r="F59" s="70"/>
      <c r="G59" s="70"/>
      <c r="H59" s="70"/>
      <c r="I59" s="70"/>
      <c r="L59"/>
      <c r="Q59" s="76"/>
    </row>
    <row r="60" spans="1:20" ht="60" customHeight="1" thickBot="1" x14ac:dyDescent="0.25">
      <c r="A60" s="69"/>
      <c r="B60" s="69" t="s">
        <v>468</v>
      </c>
      <c r="C60" s="69">
        <v>1</v>
      </c>
      <c r="D60" s="85" t="s">
        <v>508</v>
      </c>
      <c r="E60" s="70"/>
      <c r="F60" s="70"/>
      <c r="G60" s="70"/>
      <c r="H60" s="70"/>
      <c r="I60" s="70"/>
      <c r="L60"/>
      <c r="Q60" s="76"/>
    </row>
    <row r="61" spans="1:20" ht="14.25" customHeight="1" x14ac:dyDescent="0.2">
      <c r="A61" s="69"/>
      <c r="B61" s="66" t="s">
        <v>502</v>
      </c>
      <c r="C61" s="69">
        <v>1</v>
      </c>
      <c r="D61" s="82" t="s">
        <v>507</v>
      </c>
      <c r="E61" s="70"/>
      <c r="F61" s="70"/>
      <c r="G61" s="70"/>
      <c r="H61" s="70"/>
      <c r="I61" s="70"/>
      <c r="L61"/>
      <c r="Q61" s="76"/>
    </row>
    <row r="62" spans="1:20" ht="15" thickBot="1" x14ac:dyDescent="0.25">
      <c r="A62" s="69"/>
      <c r="B62" s="69"/>
      <c r="C62" s="69"/>
      <c r="D62" s="69"/>
      <c r="E62" s="69"/>
      <c r="F62" s="70"/>
      <c r="G62" s="70"/>
      <c r="H62" s="70"/>
      <c r="I62" s="70"/>
      <c r="J62" s="70"/>
    </row>
    <row r="63" spans="1:20" ht="26.25" thickBot="1" x14ac:dyDescent="0.25">
      <c r="A63" s="69" t="s">
        <v>415</v>
      </c>
      <c r="B63" s="69" t="s">
        <v>418</v>
      </c>
      <c r="C63" s="69" t="s">
        <v>419</v>
      </c>
      <c r="D63" s="85" t="s">
        <v>517</v>
      </c>
      <c r="E63" s="69"/>
      <c r="F63" s="70"/>
      <c r="G63" s="70"/>
      <c r="H63" s="70"/>
      <c r="I63" s="70"/>
      <c r="L63"/>
      <c r="Q63" s="75"/>
    </row>
    <row r="64" spans="1:20" ht="26.25" thickBot="1" x14ac:dyDescent="0.25">
      <c r="A64" s="69"/>
      <c r="B64" s="69" t="s">
        <v>420</v>
      </c>
      <c r="C64" s="69" t="s">
        <v>421</v>
      </c>
      <c r="D64" s="85" t="s">
        <v>518</v>
      </c>
      <c r="E64" s="69"/>
      <c r="F64" s="70"/>
      <c r="G64" s="70"/>
      <c r="H64" s="70"/>
      <c r="I64" s="70"/>
      <c r="L64"/>
      <c r="Q64" s="75"/>
    </row>
    <row r="65" spans="1:20" ht="26.25" thickBot="1" x14ac:dyDescent="0.25">
      <c r="A65" s="68"/>
      <c r="B65" s="69" t="s">
        <v>422</v>
      </c>
      <c r="C65" s="69" t="s">
        <v>424</v>
      </c>
      <c r="D65" s="85" t="s">
        <v>519</v>
      </c>
      <c r="E65" s="70"/>
      <c r="F65" s="70"/>
      <c r="G65" s="70"/>
      <c r="H65" s="70"/>
      <c r="I65" s="70"/>
      <c r="L65"/>
      <c r="Q65" s="75"/>
    </row>
    <row r="66" spans="1:20" ht="26.25" thickBot="1" x14ac:dyDescent="0.25">
      <c r="A66" s="68"/>
      <c r="B66" s="69" t="s">
        <v>423</v>
      </c>
      <c r="C66" s="69" t="s">
        <v>424</v>
      </c>
      <c r="D66" s="85" t="s">
        <v>520</v>
      </c>
      <c r="E66" s="70"/>
      <c r="F66" s="70"/>
      <c r="G66" s="70"/>
      <c r="H66" s="70"/>
      <c r="I66" s="70"/>
      <c r="L66"/>
      <c r="Q66" s="75"/>
    </row>
    <row r="67" spans="1:20" ht="14.25" customHeight="1" thickBot="1" x14ac:dyDescent="0.25">
      <c r="A67" s="68"/>
      <c r="B67" s="69" t="s">
        <v>425</v>
      </c>
      <c r="C67" s="69">
        <v>4</v>
      </c>
      <c r="D67" s="85" t="s">
        <v>521</v>
      </c>
      <c r="H67" s="70"/>
      <c r="I67" s="70"/>
      <c r="L67"/>
      <c r="Q67" s="73"/>
    </row>
    <row r="68" spans="1:20" ht="14.25" customHeight="1" thickBot="1" x14ac:dyDescent="0.25">
      <c r="A68" s="68"/>
      <c r="B68" s="69" t="s">
        <v>426</v>
      </c>
      <c r="C68" s="69">
        <v>4</v>
      </c>
      <c r="D68" s="85" t="s">
        <v>521</v>
      </c>
      <c r="H68" s="70"/>
      <c r="I68" s="70"/>
      <c r="L68"/>
      <c r="Q68" s="74"/>
    </row>
    <row r="69" spans="1:20" ht="14.25" customHeight="1" thickBot="1" x14ac:dyDescent="0.25">
      <c r="A69" s="68"/>
      <c r="B69" s="69" t="s">
        <v>427</v>
      </c>
      <c r="C69" s="69">
        <v>2</v>
      </c>
      <c r="D69" s="85" t="s">
        <v>521</v>
      </c>
      <c r="H69" s="70"/>
      <c r="I69" s="70"/>
      <c r="L69"/>
      <c r="Q69" s="76"/>
    </row>
    <row r="70" spans="1:20" ht="14.25" customHeight="1" thickBot="1" x14ac:dyDescent="0.25">
      <c r="A70" s="69"/>
      <c r="B70" s="66" t="s">
        <v>477</v>
      </c>
      <c r="C70" s="69">
        <v>2</v>
      </c>
      <c r="D70" s="85" t="s">
        <v>521</v>
      </c>
      <c r="E70" s="70"/>
      <c r="F70" s="70"/>
      <c r="G70" s="70"/>
      <c r="H70" s="70"/>
      <c r="I70" s="70"/>
      <c r="L70"/>
      <c r="Q70" s="76"/>
      <c r="S70" s="62"/>
      <c r="T70" s="62"/>
    </row>
    <row r="71" spans="1:20" ht="17.25" thickBot="1" x14ac:dyDescent="0.25">
      <c r="A71" s="66"/>
      <c r="B71" s="69" t="s">
        <v>428</v>
      </c>
      <c r="C71" s="69">
        <v>1</v>
      </c>
      <c r="D71" s="85" t="s">
        <v>521</v>
      </c>
      <c r="H71" s="70"/>
      <c r="I71" s="70"/>
      <c r="L71"/>
      <c r="Q71" s="73"/>
    </row>
    <row r="72" spans="1:20" ht="17.25" thickBot="1" x14ac:dyDescent="0.25">
      <c r="A72" s="66"/>
      <c r="B72" s="69" t="s">
        <v>429</v>
      </c>
      <c r="C72" s="69">
        <v>2</v>
      </c>
      <c r="D72" s="85" t="s">
        <v>521</v>
      </c>
      <c r="H72" s="70"/>
      <c r="I72" s="70"/>
      <c r="L72"/>
      <c r="Q72" s="76"/>
    </row>
    <row r="73" spans="1:20" ht="16.5" x14ac:dyDescent="0.2">
      <c r="A73" s="68"/>
      <c r="B73" s="69" t="s">
        <v>430</v>
      </c>
      <c r="C73" s="69">
        <v>1</v>
      </c>
      <c r="D73" s="85" t="s">
        <v>521</v>
      </c>
      <c r="L73"/>
      <c r="Q73" s="76"/>
    </row>
    <row r="74" spans="1:20" ht="15" thickBot="1" x14ac:dyDescent="0.25">
      <c r="B74" s="69"/>
      <c r="C74" s="69"/>
      <c r="D74" s="69"/>
    </row>
    <row r="75" spans="1:20" ht="17.25" thickBot="1" x14ac:dyDescent="0.25">
      <c r="A75" s="1" t="s">
        <v>431</v>
      </c>
      <c r="B75" s="69" t="s">
        <v>416</v>
      </c>
      <c r="C75" s="69">
        <v>4</v>
      </c>
      <c r="R75" s="73"/>
    </row>
    <row r="76" spans="1:20" ht="16.5" x14ac:dyDescent="0.2">
      <c r="B76" s="69" t="s">
        <v>417</v>
      </c>
      <c r="C76" s="69">
        <v>4</v>
      </c>
      <c r="R76" s="77"/>
    </row>
    <row r="77" spans="1:20" x14ac:dyDescent="0.2">
      <c r="B77" s="69" t="s">
        <v>364</v>
      </c>
      <c r="C77" s="69">
        <v>16</v>
      </c>
    </row>
    <row r="78" spans="1:20" x14ac:dyDescent="0.2">
      <c r="B78" s="69" t="s">
        <v>365</v>
      </c>
      <c r="C78" s="69">
        <v>16</v>
      </c>
    </row>
    <row r="79" spans="1:20" x14ac:dyDescent="0.2">
      <c r="B79" s="69" t="s">
        <v>366</v>
      </c>
      <c r="C79" s="69">
        <v>16</v>
      </c>
    </row>
    <row r="80" spans="1:20" x14ac:dyDescent="0.2">
      <c r="B80" s="69" t="s">
        <v>367</v>
      </c>
      <c r="C80" s="69">
        <v>16</v>
      </c>
    </row>
    <row r="81" spans="1:8" x14ac:dyDescent="0.2">
      <c r="H81" s="69"/>
    </row>
    <row r="94" spans="1:8" x14ac:dyDescent="0.2">
      <c r="A94" s="1" t="s">
        <v>526</v>
      </c>
      <c r="B94" s="1" t="s">
        <v>527</v>
      </c>
      <c r="C94" s="1" t="s">
        <v>528</v>
      </c>
    </row>
    <row r="95" spans="1:8" x14ac:dyDescent="0.2">
      <c r="A95" s="1" t="s">
        <v>522</v>
      </c>
      <c r="B95" s="1">
        <v>8</v>
      </c>
      <c r="C95" s="1" t="s">
        <v>529</v>
      </c>
    </row>
    <row r="96" spans="1:8" x14ac:dyDescent="0.2">
      <c r="A96" s="1" t="s">
        <v>523</v>
      </c>
      <c r="B96" s="1">
        <v>16</v>
      </c>
      <c r="C96" s="1" t="s">
        <v>530</v>
      </c>
    </row>
    <row r="97" spans="1:3" x14ac:dyDescent="0.2">
      <c r="A97" s="1" t="s">
        <v>524</v>
      </c>
      <c r="B97" s="1">
        <v>32</v>
      </c>
      <c r="C97" s="2" t="s">
        <v>531</v>
      </c>
    </row>
    <row r="98" spans="1:3" x14ac:dyDescent="0.2">
      <c r="A98" s="2" t="s">
        <v>525</v>
      </c>
      <c r="B98" s="2">
        <v>64</v>
      </c>
      <c r="C98" s="2" t="s">
        <v>532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802F-5361-4627-9329-9A956863D051}">
  <dimension ref="A1:U65"/>
  <sheetViews>
    <sheetView topLeftCell="A11" zoomScale="130" zoomScaleNormal="130" workbookViewId="0">
      <selection activeCell="A10" sqref="A10:F19"/>
    </sheetView>
  </sheetViews>
  <sheetFormatPr defaultRowHeight="14.25" x14ac:dyDescent="0.2"/>
  <cols>
    <col min="2" max="2" width="26" customWidth="1"/>
    <col min="4" max="4" width="16.875" customWidth="1"/>
    <col min="5" max="5" width="18.875" style="60" customWidth="1"/>
    <col min="6" max="6" width="11.75" customWidth="1"/>
  </cols>
  <sheetData>
    <row r="1" spans="1:21" x14ac:dyDescent="0.2">
      <c r="A1" s="150" t="s">
        <v>304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21" x14ac:dyDescent="0.2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M2" s="95" t="s">
        <v>584</v>
      </c>
      <c r="N2" s="95" t="s">
        <v>583</v>
      </c>
      <c r="O2" s="95"/>
      <c r="P2" s="95"/>
      <c r="Q2" s="95"/>
      <c r="R2" s="95"/>
      <c r="S2" s="95"/>
      <c r="T2" s="95"/>
      <c r="U2" s="95"/>
    </row>
    <row r="3" spans="1:21" x14ac:dyDescent="0.2">
      <c r="A3" s="66" t="s">
        <v>306</v>
      </c>
      <c r="B3" s="66" t="s">
        <v>305</v>
      </c>
      <c r="C3" s="67" t="s">
        <v>314</v>
      </c>
      <c r="D3" s="66" t="s">
        <v>307</v>
      </c>
      <c r="E3" s="106" t="s">
        <v>308</v>
      </c>
      <c r="F3" s="61"/>
      <c r="G3" s="69"/>
      <c r="H3" s="69"/>
      <c r="I3" s="69"/>
      <c r="J3" s="69"/>
      <c r="K3" s="69"/>
      <c r="M3" s="95"/>
      <c r="N3" s="95">
        <v>0</v>
      </c>
      <c r="O3" s="95">
        <v>1</v>
      </c>
      <c r="P3" s="95">
        <v>2</v>
      </c>
      <c r="Q3" s="95">
        <v>3</v>
      </c>
      <c r="R3" s="95">
        <v>4</v>
      </c>
      <c r="S3" s="95">
        <v>5</v>
      </c>
      <c r="T3" s="95">
        <v>6</v>
      </c>
      <c r="U3" s="100" t="s">
        <v>582</v>
      </c>
    </row>
    <row r="4" spans="1:21" x14ac:dyDescent="0.2">
      <c r="A4" s="148" t="s">
        <v>309</v>
      </c>
      <c r="B4" s="66" t="s">
        <v>310</v>
      </c>
      <c r="C4" s="67" t="s">
        <v>315</v>
      </c>
      <c r="D4" s="69">
        <v>1</v>
      </c>
      <c r="E4" s="106"/>
      <c r="F4" s="61"/>
      <c r="G4" s="69"/>
      <c r="H4" s="69"/>
      <c r="I4" s="69"/>
      <c r="J4" s="69"/>
      <c r="K4" s="69"/>
      <c r="M4" s="95">
        <v>0</v>
      </c>
      <c r="N4" s="96">
        <v>0</v>
      </c>
      <c r="O4" s="97">
        <v>0</v>
      </c>
      <c r="P4" s="99">
        <v>0</v>
      </c>
      <c r="Q4" s="98">
        <v>0</v>
      </c>
      <c r="R4" s="96">
        <v>112</v>
      </c>
      <c r="S4" s="97">
        <v>112</v>
      </c>
      <c r="T4" s="99">
        <v>112</v>
      </c>
      <c r="U4" s="98">
        <v>112</v>
      </c>
    </row>
    <row r="5" spans="1:21" x14ac:dyDescent="0.2">
      <c r="A5" s="148"/>
      <c r="B5" s="66" t="s">
        <v>311</v>
      </c>
      <c r="C5" s="68" t="s">
        <v>315</v>
      </c>
      <c r="D5" s="69">
        <v>1</v>
      </c>
      <c r="E5" s="106"/>
      <c r="F5" s="61"/>
      <c r="G5" s="69"/>
      <c r="H5" s="69"/>
      <c r="I5" s="69"/>
      <c r="J5" s="69"/>
      <c r="K5" s="69"/>
      <c r="M5" s="95">
        <v>1</v>
      </c>
      <c r="N5" s="99">
        <v>1</v>
      </c>
      <c r="O5" s="98">
        <v>1</v>
      </c>
      <c r="P5" s="96">
        <v>1</v>
      </c>
      <c r="Q5" s="97">
        <v>1</v>
      </c>
      <c r="R5" s="99">
        <v>113</v>
      </c>
      <c r="S5" s="98">
        <v>113</v>
      </c>
      <c r="T5" s="96">
        <v>113</v>
      </c>
      <c r="U5" s="97">
        <v>113</v>
      </c>
    </row>
    <row r="6" spans="1:21" x14ac:dyDescent="0.2">
      <c r="A6" s="69"/>
      <c r="B6" s="66"/>
      <c r="C6" s="68"/>
      <c r="D6" s="69"/>
      <c r="E6" s="106"/>
      <c r="F6" s="61"/>
      <c r="G6" s="69"/>
      <c r="H6" s="69"/>
      <c r="I6" s="69"/>
      <c r="J6" s="69"/>
      <c r="K6" s="69"/>
      <c r="M6" s="95">
        <v>2</v>
      </c>
      <c r="N6" s="96">
        <v>2</v>
      </c>
      <c r="O6" s="97">
        <v>2</v>
      </c>
      <c r="P6" s="99">
        <v>2</v>
      </c>
      <c r="Q6" s="98">
        <v>2</v>
      </c>
      <c r="R6" s="96">
        <v>114</v>
      </c>
      <c r="S6" s="97">
        <v>114</v>
      </c>
      <c r="T6" s="99">
        <v>114</v>
      </c>
      <c r="U6" s="98">
        <v>114</v>
      </c>
    </row>
    <row r="7" spans="1:21" x14ac:dyDescent="0.2">
      <c r="A7" s="148" t="s">
        <v>328</v>
      </c>
      <c r="B7" s="69" t="s">
        <v>312</v>
      </c>
      <c r="C7" s="68" t="s">
        <v>315</v>
      </c>
      <c r="D7" s="69">
        <v>1</v>
      </c>
      <c r="E7" s="106" t="s">
        <v>323</v>
      </c>
      <c r="F7" s="61"/>
      <c r="G7" s="69"/>
      <c r="H7" s="69"/>
      <c r="I7" s="69"/>
      <c r="J7" s="69"/>
      <c r="K7" s="69"/>
      <c r="M7" s="95">
        <v>3</v>
      </c>
      <c r="N7" s="99">
        <v>3</v>
      </c>
      <c r="O7" s="98">
        <v>3</v>
      </c>
      <c r="P7" s="96">
        <v>3</v>
      </c>
      <c r="Q7" s="97">
        <v>3</v>
      </c>
      <c r="R7" s="99">
        <v>115</v>
      </c>
      <c r="S7" s="98">
        <v>115</v>
      </c>
      <c r="T7" s="96">
        <v>115</v>
      </c>
      <c r="U7" s="97">
        <v>115</v>
      </c>
    </row>
    <row r="8" spans="1:21" x14ac:dyDescent="0.2">
      <c r="A8" s="149"/>
      <c r="B8" s="69" t="s">
        <v>313</v>
      </c>
      <c r="C8" s="68" t="s">
        <v>316</v>
      </c>
      <c r="D8" s="69">
        <v>1</v>
      </c>
      <c r="E8" s="106"/>
      <c r="F8" s="61"/>
      <c r="G8" s="66"/>
      <c r="H8" s="69"/>
      <c r="I8" s="69"/>
      <c r="J8" s="69"/>
      <c r="K8" s="69"/>
      <c r="M8" s="95">
        <v>4</v>
      </c>
      <c r="N8" s="96">
        <v>4</v>
      </c>
      <c r="O8" s="97">
        <v>4</v>
      </c>
      <c r="P8" s="99">
        <v>4</v>
      </c>
      <c r="Q8" s="98">
        <v>4</v>
      </c>
      <c r="R8" s="96">
        <v>116</v>
      </c>
      <c r="S8" s="97">
        <v>116</v>
      </c>
      <c r="T8" s="99">
        <v>116</v>
      </c>
      <c r="U8" s="98">
        <v>116</v>
      </c>
    </row>
    <row r="9" spans="1:21" x14ac:dyDescent="0.2">
      <c r="A9" s="149"/>
      <c r="B9" s="68" t="s">
        <v>317</v>
      </c>
      <c r="C9" s="71" t="s">
        <v>315</v>
      </c>
      <c r="D9" s="68" t="s">
        <v>397</v>
      </c>
      <c r="E9" s="106"/>
      <c r="F9" s="61"/>
      <c r="G9" s="69"/>
      <c r="H9" s="69"/>
      <c r="I9" s="69"/>
      <c r="J9" s="69"/>
      <c r="K9" s="69"/>
      <c r="M9" s="95">
        <v>5</v>
      </c>
      <c r="N9" s="99">
        <v>5</v>
      </c>
      <c r="O9" s="98">
        <v>5</v>
      </c>
      <c r="P9" s="96">
        <v>5</v>
      </c>
      <c r="Q9" s="97">
        <v>5</v>
      </c>
      <c r="R9" s="99">
        <v>117</v>
      </c>
      <c r="S9" s="98">
        <v>117</v>
      </c>
      <c r="T9" s="96">
        <v>117</v>
      </c>
      <c r="U9" s="97">
        <v>117</v>
      </c>
    </row>
    <row r="10" spans="1:21" x14ac:dyDescent="0.2">
      <c r="A10" s="148" t="s">
        <v>329</v>
      </c>
      <c r="B10" s="66" t="s">
        <v>442</v>
      </c>
      <c r="C10" s="66" t="s">
        <v>316</v>
      </c>
      <c r="D10" s="69">
        <v>1</v>
      </c>
      <c r="E10" s="106"/>
      <c r="F10" s="61"/>
      <c r="G10" s="69"/>
      <c r="H10" s="69"/>
      <c r="I10" s="69"/>
      <c r="J10" s="69"/>
      <c r="K10" s="69"/>
      <c r="M10" s="95">
        <v>6</v>
      </c>
      <c r="N10" s="96">
        <v>6</v>
      </c>
      <c r="O10" s="97">
        <v>6</v>
      </c>
      <c r="P10" s="99">
        <v>6</v>
      </c>
      <c r="Q10" s="98">
        <v>6</v>
      </c>
      <c r="R10" s="96">
        <v>118</v>
      </c>
      <c r="S10" s="97">
        <v>118</v>
      </c>
      <c r="T10" s="99">
        <v>118</v>
      </c>
      <c r="U10" s="98">
        <v>118</v>
      </c>
    </row>
    <row r="11" spans="1:21" x14ac:dyDescent="0.2">
      <c r="A11" s="148"/>
      <c r="B11" s="66" t="s">
        <v>443</v>
      </c>
      <c r="C11" s="66" t="s">
        <v>316</v>
      </c>
      <c r="D11" s="68" t="s">
        <v>446</v>
      </c>
      <c r="E11" s="106"/>
      <c r="F11" s="61"/>
      <c r="G11" s="69"/>
      <c r="H11" s="69"/>
      <c r="I11" s="69"/>
      <c r="J11" s="69"/>
      <c r="K11" s="69"/>
      <c r="M11" s="95">
        <v>7</v>
      </c>
      <c r="N11" s="99">
        <v>7</v>
      </c>
      <c r="O11" s="98">
        <v>7</v>
      </c>
      <c r="P11" s="96">
        <v>7</v>
      </c>
      <c r="Q11" s="97">
        <v>7</v>
      </c>
      <c r="R11" s="99">
        <v>119</v>
      </c>
      <c r="S11" s="98">
        <v>119</v>
      </c>
      <c r="T11" s="96">
        <v>119</v>
      </c>
      <c r="U11" s="97">
        <v>119</v>
      </c>
    </row>
    <row r="12" spans="1:21" x14ac:dyDescent="0.2">
      <c r="A12" s="148"/>
      <c r="B12" s="66" t="s">
        <v>437</v>
      </c>
      <c r="C12" s="66" t="s">
        <v>315</v>
      </c>
      <c r="D12" s="69">
        <v>1</v>
      </c>
      <c r="E12" s="106"/>
      <c r="F12" s="61"/>
      <c r="G12" s="69"/>
      <c r="H12" s="69"/>
      <c r="I12" s="69"/>
      <c r="J12" s="69"/>
      <c r="K12" s="69"/>
      <c r="M12" s="95">
        <v>8</v>
      </c>
      <c r="N12" s="96">
        <v>8</v>
      </c>
      <c r="O12" s="97">
        <v>8</v>
      </c>
      <c r="P12" s="99">
        <v>8</v>
      </c>
      <c r="Q12" s="98">
        <v>8</v>
      </c>
      <c r="R12" s="96">
        <v>120</v>
      </c>
      <c r="S12" s="97">
        <v>120</v>
      </c>
      <c r="T12" s="99">
        <v>120</v>
      </c>
      <c r="U12" s="98">
        <v>120</v>
      </c>
    </row>
    <row r="13" spans="1:21" x14ac:dyDescent="0.2">
      <c r="A13" s="148"/>
      <c r="B13" s="67" t="s">
        <v>439</v>
      </c>
      <c r="C13" s="71" t="s">
        <v>398</v>
      </c>
      <c r="D13" s="68" t="s">
        <v>455</v>
      </c>
      <c r="E13" s="106"/>
      <c r="F13" s="61"/>
      <c r="G13" s="68"/>
      <c r="H13" s="68"/>
      <c r="I13" s="68"/>
      <c r="J13" s="69"/>
      <c r="K13" s="69"/>
      <c r="M13" s="95">
        <v>9</v>
      </c>
      <c r="N13" s="99">
        <v>9</v>
      </c>
      <c r="O13" s="98">
        <v>9</v>
      </c>
      <c r="P13" s="96">
        <v>9</v>
      </c>
      <c r="Q13" s="97">
        <v>9</v>
      </c>
      <c r="R13" s="99">
        <v>121</v>
      </c>
      <c r="S13" s="98">
        <v>121</v>
      </c>
      <c r="T13" s="96">
        <v>121</v>
      </c>
      <c r="U13" s="97">
        <v>121</v>
      </c>
    </row>
    <row r="14" spans="1:21" x14ac:dyDescent="0.2">
      <c r="A14" s="148"/>
      <c r="B14" s="66" t="s">
        <v>444</v>
      </c>
      <c r="C14" s="66" t="s">
        <v>316</v>
      </c>
      <c r="D14" s="69">
        <v>1</v>
      </c>
      <c r="E14" s="106"/>
      <c r="F14" s="61"/>
      <c r="G14" s="68"/>
      <c r="H14" s="68"/>
      <c r="I14" s="68"/>
      <c r="J14" s="69"/>
      <c r="K14" s="69"/>
      <c r="M14" s="95">
        <v>10</v>
      </c>
      <c r="N14" s="96">
        <v>10</v>
      </c>
      <c r="O14" s="97">
        <v>10</v>
      </c>
      <c r="P14" s="99">
        <v>10</v>
      </c>
      <c r="Q14" s="98">
        <v>10</v>
      </c>
      <c r="R14" s="96">
        <v>122</v>
      </c>
      <c r="S14" s="97">
        <v>122</v>
      </c>
      <c r="T14" s="99">
        <v>122</v>
      </c>
      <c r="U14" s="98">
        <v>122</v>
      </c>
    </row>
    <row r="15" spans="1:21" x14ac:dyDescent="0.2">
      <c r="A15" s="148"/>
      <c r="B15" s="66" t="s">
        <v>445</v>
      </c>
      <c r="C15" s="66" t="s">
        <v>316</v>
      </c>
      <c r="D15" s="68" t="s">
        <v>446</v>
      </c>
      <c r="E15" s="106"/>
      <c r="F15" s="61"/>
      <c r="G15" s="68"/>
      <c r="H15" s="68"/>
      <c r="I15" s="68"/>
      <c r="J15" s="69"/>
      <c r="K15" s="69"/>
      <c r="M15" s="95">
        <v>11</v>
      </c>
      <c r="N15" s="99">
        <v>11</v>
      </c>
      <c r="O15" s="98">
        <v>11</v>
      </c>
      <c r="P15" s="96">
        <v>11</v>
      </c>
      <c r="Q15" s="97">
        <v>11</v>
      </c>
      <c r="R15" s="99">
        <v>123</v>
      </c>
      <c r="S15" s="98">
        <v>123</v>
      </c>
      <c r="T15" s="96">
        <v>123</v>
      </c>
      <c r="U15" s="97">
        <v>123</v>
      </c>
    </row>
    <row r="16" spans="1:21" x14ac:dyDescent="0.2">
      <c r="A16" s="148"/>
      <c r="B16" s="66" t="s">
        <v>440</v>
      </c>
      <c r="C16" s="66" t="s">
        <v>315</v>
      </c>
      <c r="D16" s="69">
        <v>1</v>
      </c>
      <c r="E16" s="106"/>
      <c r="F16" s="61"/>
      <c r="G16" s="68"/>
      <c r="H16" s="68"/>
      <c r="I16" s="68"/>
      <c r="J16" s="69"/>
      <c r="K16" s="69"/>
      <c r="M16" s="95">
        <v>12</v>
      </c>
      <c r="N16" s="96">
        <v>12</v>
      </c>
      <c r="O16" s="97">
        <v>12</v>
      </c>
      <c r="P16" s="99">
        <v>12</v>
      </c>
      <c r="Q16" s="98">
        <v>12</v>
      </c>
      <c r="R16" s="96">
        <v>124</v>
      </c>
      <c r="S16" s="97">
        <v>124</v>
      </c>
      <c r="T16" s="99">
        <v>124</v>
      </c>
      <c r="U16" s="98">
        <v>124</v>
      </c>
    </row>
    <row r="17" spans="1:21" x14ac:dyDescent="0.2">
      <c r="A17" s="148"/>
      <c r="B17" s="66" t="s">
        <v>447</v>
      </c>
      <c r="C17" s="67" t="s">
        <v>398</v>
      </c>
      <c r="D17" s="68" t="s">
        <v>455</v>
      </c>
      <c r="E17" s="106"/>
      <c r="F17" s="61"/>
      <c r="G17" s="68"/>
      <c r="H17" s="68"/>
      <c r="I17" s="68"/>
      <c r="J17" s="151"/>
      <c r="K17" s="151"/>
      <c r="M17" s="95">
        <v>13</v>
      </c>
      <c r="N17" s="99">
        <v>13</v>
      </c>
      <c r="O17" s="98">
        <v>13</v>
      </c>
      <c r="P17" s="96">
        <v>13</v>
      </c>
      <c r="Q17" s="97">
        <v>13</v>
      </c>
      <c r="R17" s="99">
        <v>125</v>
      </c>
      <c r="S17" s="98">
        <v>125</v>
      </c>
      <c r="T17" s="96">
        <v>125</v>
      </c>
      <c r="U17" s="97">
        <v>125</v>
      </c>
    </row>
    <row r="18" spans="1:21" x14ac:dyDescent="0.2">
      <c r="A18" s="148"/>
      <c r="B18" s="66" t="s">
        <v>356</v>
      </c>
      <c r="C18" s="66" t="s">
        <v>316</v>
      </c>
      <c r="D18" s="69">
        <v>1</v>
      </c>
      <c r="E18" s="106"/>
      <c r="F18" s="61"/>
      <c r="G18" s="68"/>
      <c r="H18" s="68"/>
      <c r="I18" s="68"/>
      <c r="J18" s="69"/>
      <c r="K18" s="69"/>
      <c r="M18" s="95">
        <v>14</v>
      </c>
      <c r="N18" s="96">
        <v>14</v>
      </c>
      <c r="O18" s="97">
        <v>14</v>
      </c>
      <c r="P18" s="99">
        <v>14</v>
      </c>
      <c r="Q18" s="98">
        <v>14</v>
      </c>
      <c r="R18" s="96">
        <v>126</v>
      </c>
      <c r="S18" s="97">
        <v>126</v>
      </c>
      <c r="T18" s="99">
        <v>126</v>
      </c>
      <c r="U18" s="98">
        <v>126</v>
      </c>
    </row>
    <row r="19" spans="1:21" x14ac:dyDescent="0.2">
      <c r="A19" s="148"/>
      <c r="B19" s="66" t="s">
        <v>357</v>
      </c>
      <c r="C19" s="66" t="s">
        <v>316</v>
      </c>
      <c r="D19" s="66" t="s">
        <v>456</v>
      </c>
      <c r="E19" s="106" t="s">
        <v>358</v>
      </c>
      <c r="F19" s="61"/>
      <c r="G19" s="68"/>
      <c r="H19" s="68"/>
      <c r="I19" s="68"/>
      <c r="J19" s="69"/>
      <c r="K19" s="69"/>
      <c r="M19" s="95">
        <v>15</v>
      </c>
      <c r="N19" s="99">
        <v>15</v>
      </c>
      <c r="O19" s="98">
        <v>15</v>
      </c>
      <c r="P19" s="96">
        <v>15</v>
      </c>
      <c r="Q19" s="97">
        <v>15</v>
      </c>
      <c r="R19" s="99">
        <v>127</v>
      </c>
      <c r="S19" s="98">
        <v>127</v>
      </c>
      <c r="T19" s="96">
        <v>127</v>
      </c>
      <c r="U19" s="97">
        <v>127</v>
      </c>
    </row>
    <row r="20" spans="1:21" x14ac:dyDescent="0.2">
      <c r="A20" s="148" t="s">
        <v>360</v>
      </c>
      <c r="B20" s="66" t="s">
        <v>361</v>
      </c>
      <c r="C20" s="66" t="s">
        <v>316</v>
      </c>
      <c r="D20" s="69">
        <v>1</v>
      </c>
      <c r="E20" s="106"/>
      <c r="F20" s="61"/>
      <c r="G20" s="69"/>
      <c r="H20" s="69"/>
      <c r="I20" s="69"/>
      <c r="J20" s="69"/>
      <c r="K20" s="69"/>
      <c r="M20" s="101" t="s">
        <v>581</v>
      </c>
      <c r="N20" s="95"/>
      <c r="O20" s="95"/>
      <c r="P20" s="95"/>
      <c r="Q20" s="95"/>
      <c r="R20" s="95"/>
      <c r="S20" s="95"/>
      <c r="T20" s="95"/>
      <c r="U20" s="95"/>
    </row>
    <row r="21" spans="1:21" x14ac:dyDescent="0.2">
      <c r="A21" s="148"/>
      <c r="B21" s="67" t="s">
        <v>400</v>
      </c>
      <c r="C21" s="67" t="s">
        <v>401</v>
      </c>
      <c r="D21" s="68" t="s">
        <v>438</v>
      </c>
      <c r="E21" s="106"/>
      <c r="F21" s="61"/>
      <c r="G21" s="69"/>
      <c r="H21" s="69"/>
      <c r="I21" s="69"/>
      <c r="J21" s="69"/>
      <c r="K21" s="69"/>
      <c r="M21" s="101" t="s">
        <v>581</v>
      </c>
      <c r="N21" s="95"/>
      <c r="O21" s="95"/>
      <c r="P21" s="95"/>
      <c r="Q21" s="95"/>
      <c r="R21" s="95"/>
      <c r="S21" s="95"/>
      <c r="T21" s="95"/>
      <c r="U21" s="95"/>
    </row>
    <row r="22" spans="1:21" x14ac:dyDescent="0.2">
      <c r="A22" s="148"/>
      <c r="B22" s="66" t="s">
        <v>403</v>
      </c>
      <c r="C22" s="66" t="s">
        <v>401</v>
      </c>
      <c r="D22" s="69">
        <v>5</v>
      </c>
      <c r="E22" s="106" t="s">
        <v>474</v>
      </c>
      <c r="F22" s="61"/>
      <c r="G22" s="69"/>
      <c r="H22" s="69"/>
      <c r="I22" s="69"/>
      <c r="J22" s="69"/>
      <c r="K22" s="69"/>
      <c r="M22" s="95">
        <v>108</v>
      </c>
      <c r="N22" s="96">
        <v>108</v>
      </c>
      <c r="O22" s="97">
        <v>108</v>
      </c>
      <c r="P22" s="99">
        <v>108</v>
      </c>
      <c r="Q22" s="98">
        <v>108</v>
      </c>
      <c r="R22" s="96">
        <v>220</v>
      </c>
      <c r="S22" s="97">
        <v>220</v>
      </c>
      <c r="T22" s="99">
        <v>220</v>
      </c>
      <c r="U22" s="98">
        <v>220</v>
      </c>
    </row>
    <row r="23" spans="1:21" x14ac:dyDescent="0.2">
      <c r="A23" s="148"/>
      <c r="B23" s="66" t="s">
        <v>404</v>
      </c>
      <c r="C23" s="66" t="s">
        <v>398</v>
      </c>
      <c r="D23" s="69">
        <v>5</v>
      </c>
      <c r="E23" s="106"/>
      <c r="F23" s="61"/>
      <c r="G23" s="69"/>
      <c r="H23" s="69"/>
      <c r="I23" s="69"/>
      <c r="J23" s="69"/>
      <c r="K23" s="69"/>
      <c r="M23" s="95">
        <v>109</v>
      </c>
      <c r="N23" s="99">
        <v>109</v>
      </c>
      <c r="O23" s="98">
        <v>109</v>
      </c>
      <c r="P23" s="96">
        <v>109</v>
      </c>
      <c r="Q23" s="97">
        <v>109</v>
      </c>
      <c r="R23" s="99">
        <v>221</v>
      </c>
      <c r="S23" s="98">
        <v>221</v>
      </c>
      <c r="T23" s="96">
        <v>221</v>
      </c>
      <c r="U23" s="97">
        <v>221</v>
      </c>
    </row>
    <row r="24" spans="1:21" x14ac:dyDescent="0.2">
      <c r="A24" s="148"/>
      <c r="B24" s="88" t="s">
        <v>576</v>
      </c>
      <c r="C24" s="88" t="s">
        <v>316</v>
      </c>
      <c r="D24" s="88" t="s">
        <v>577</v>
      </c>
      <c r="E24" s="106"/>
      <c r="F24" s="87"/>
      <c r="G24" s="69"/>
      <c r="H24" s="69"/>
      <c r="I24" s="69"/>
      <c r="J24" s="69"/>
      <c r="K24" s="69"/>
      <c r="M24" s="95">
        <v>110</v>
      </c>
      <c r="N24" s="96">
        <v>110</v>
      </c>
      <c r="O24" s="97">
        <v>110</v>
      </c>
      <c r="P24" s="99">
        <v>110</v>
      </c>
      <c r="Q24" s="98">
        <v>110</v>
      </c>
      <c r="R24" s="96">
        <v>222</v>
      </c>
      <c r="S24" s="97">
        <v>222</v>
      </c>
      <c r="T24" s="99">
        <v>222</v>
      </c>
      <c r="U24" s="98">
        <v>222</v>
      </c>
    </row>
    <row r="25" spans="1:21" x14ac:dyDescent="0.2">
      <c r="A25" s="148"/>
      <c r="B25" s="66" t="s">
        <v>575</v>
      </c>
      <c r="C25" s="66" t="s">
        <v>401</v>
      </c>
      <c r="D25" s="66" t="s">
        <v>436</v>
      </c>
      <c r="E25" s="106"/>
      <c r="F25" s="61"/>
      <c r="G25" s="69"/>
      <c r="H25" s="69"/>
      <c r="I25" s="69"/>
      <c r="J25" s="69"/>
      <c r="K25" s="69"/>
      <c r="M25" s="95">
        <v>111</v>
      </c>
      <c r="N25" s="99">
        <v>111</v>
      </c>
      <c r="O25" s="98">
        <v>111</v>
      </c>
      <c r="P25" s="96">
        <v>111</v>
      </c>
      <c r="Q25" s="97">
        <v>111</v>
      </c>
      <c r="R25" s="99">
        <v>223</v>
      </c>
      <c r="S25" s="98">
        <v>223</v>
      </c>
      <c r="T25" s="96">
        <v>223</v>
      </c>
      <c r="U25" s="97">
        <v>223</v>
      </c>
    </row>
    <row r="26" spans="1:21" x14ac:dyDescent="0.2">
      <c r="A26" s="148" t="s">
        <v>368</v>
      </c>
      <c r="B26" s="66" t="s">
        <v>405</v>
      </c>
      <c r="C26" s="66" t="s">
        <v>401</v>
      </c>
      <c r="D26" s="69">
        <v>5</v>
      </c>
      <c r="E26" s="106" t="s">
        <v>433</v>
      </c>
      <c r="F26" s="61"/>
      <c r="G26" s="69"/>
      <c r="H26" s="69"/>
      <c r="I26" s="69"/>
      <c r="J26" s="69"/>
      <c r="K26" s="69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148"/>
      <c r="B27" s="66" t="s">
        <v>406</v>
      </c>
      <c r="C27" s="66" t="s">
        <v>398</v>
      </c>
      <c r="D27" s="69">
        <v>5</v>
      </c>
      <c r="E27" s="106"/>
      <c r="F27" s="61"/>
      <c r="G27" s="69"/>
      <c r="H27" s="61"/>
      <c r="I27" s="69"/>
      <c r="J27" s="69"/>
      <c r="K27" s="69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48"/>
      <c r="B28" s="88" t="s">
        <v>578</v>
      </c>
      <c r="C28" s="88" t="s">
        <v>316</v>
      </c>
      <c r="D28" s="88" t="s">
        <v>577</v>
      </c>
      <c r="E28" s="106"/>
      <c r="F28" s="87"/>
      <c r="G28" s="69"/>
      <c r="H28" s="69"/>
      <c r="I28" s="69"/>
      <c r="J28" s="69"/>
      <c r="K28" s="69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48"/>
      <c r="B29" s="66" t="s">
        <v>579</v>
      </c>
      <c r="C29" s="66" t="s">
        <v>401</v>
      </c>
      <c r="D29" s="66" t="s">
        <v>434</v>
      </c>
      <c r="E29" s="106"/>
      <c r="F29" s="61"/>
      <c r="G29" s="69"/>
      <c r="H29" s="69"/>
      <c r="I29" s="69"/>
      <c r="J29" s="69"/>
      <c r="K29" s="69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48"/>
      <c r="B30" s="106" t="s">
        <v>610</v>
      </c>
      <c r="C30" s="106" t="s">
        <v>611</v>
      </c>
      <c r="D30" s="106" t="s">
        <v>612</v>
      </c>
      <c r="E30" s="106" t="s">
        <v>613</v>
      </c>
      <c r="F30" s="105"/>
      <c r="G30" s="69"/>
      <c r="H30" s="69"/>
      <c r="I30" s="69"/>
      <c r="J30" s="69"/>
      <c r="K30" s="69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148"/>
      <c r="B31" s="66" t="s">
        <v>412</v>
      </c>
      <c r="C31" s="66" t="s">
        <v>398</v>
      </c>
      <c r="D31" s="66">
        <v>5</v>
      </c>
      <c r="E31" s="106" t="s">
        <v>433</v>
      </c>
      <c r="F31" s="61"/>
      <c r="G31" s="69"/>
      <c r="H31" s="69"/>
      <c r="I31" s="69"/>
      <c r="J31" s="69"/>
      <c r="K31" s="69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48"/>
      <c r="B32" s="66" t="s">
        <v>413</v>
      </c>
      <c r="C32" s="66" t="s">
        <v>398</v>
      </c>
      <c r="D32" s="66" t="s">
        <v>435</v>
      </c>
      <c r="E32" s="106"/>
      <c r="F32" s="61"/>
      <c r="G32" s="69"/>
      <c r="H32" s="69"/>
      <c r="I32" s="69"/>
      <c r="J32" s="69"/>
      <c r="K32" s="69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48" t="s">
        <v>359</v>
      </c>
      <c r="B33" s="66" t="s">
        <v>369</v>
      </c>
      <c r="C33" s="66" t="s">
        <v>398</v>
      </c>
      <c r="D33" s="69">
        <v>4</v>
      </c>
      <c r="E33" s="106" t="s">
        <v>399</v>
      </c>
      <c r="F33" s="61"/>
      <c r="G33" s="69"/>
      <c r="H33" s="69"/>
      <c r="I33" s="69"/>
      <c r="J33" s="69"/>
      <c r="K33" s="69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48"/>
      <c r="B34" s="66" t="s">
        <v>407</v>
      </c>
      <c r="C34" s="66" t="s">
        <v>401</v>
      </c>
      <c r="D34" s="69">
        <v>4</v>
      </c>
      <c r="E34" s="106"/>
      <c r="F34" s="61"/>
      <c r="G34" s="69"/>
      <c r="H34" s="69"/>
      <c r="I34" s="69"/>
      <c r="J34" s="69"/>
      <c r="K34" s="69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148"/>
      <c r="B35" s="68" t="s">
        <v>370</v>
      </c>
      <c r="C35" s="67" t="s">
        <v>398</v>
      </c>
      <c r="D35" s="68" t="s">
        <v>408</v>
      </c>
      <c r="E35" s="106"/>
      <c r="F35" s="61"/>
      <c r="G35" s="69"/>
      <c r="H35" s="69"/>
      <c r="I35" s="69"/>
      <c r="J35" s="69"/>
      <c r="K35" s="69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48" t="s">
        <v>614</v>
      </c>
      <c r="B36" s="68" t="s">
        <v>615</v>
      </c>
      <c r="C36" s="67" t="s">
        <v>616</v>
      </c>
      <c r="D36" s="68">
        <v>1</v>
      </c>
      <c r="E36" s="106"/>
      <c r="F36" s="105"/>
      <c r="G36" s="69"/>
      <c r="H36" s="69"/>
      <c r="I36" s="69"/>
      <c r="J36" s="69"/>
      <c r="K36" s="69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48"/>
      <c r="B37" s="68" t="s">
        <v>617</v>
      </c>
      <c r="C37" s="67" t="s">
        <v>616</v>
      </c>
      <c r="D37" s="68">
        <v>4</v>
      </c>
      <c r="E37" s="106" t="s">
        <v>620</v>
      </c>
      <c r="F37" s="105"/>
      <c r="G37" s="69"/>
      <c r="H37" s="69"/>
      <c r="I37" s="69"/>
      <c r="J37" s="69"/>
      <c r="K37" s="69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48"/>
      <c r="B38" s="68" t="s">
        <v>618</v>
      </c>
      <c r="C38" s="67" t="s">
        <v>616</v>
      </c>
      <c r="D38" s="68">
        <v>3</v>
      </c>
      <c r="E38" s="109" t="s">
        <v>626</v>
      </c>
      <c r="F38" s="105"/>
      <c r="G38" s="69"/>
      <c r="H38" s="69"/>
      <c r="I38" s="69"/>
      <c r="J38" s="69"/>
      <c r="K38" s="69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48"/>
      <c r="B39" s="68" t="s">
        <v>624</v>
      </c>
      <c r="C39" s="67" t="s">
        <v>611</v>
      </c>
      <c r="D39" s="68">
        <v>1</v>
      </c>
      <c r="E39" s="109" t="s">
        <v>622</v>
      </c>
      <c r="F39" s="105"/>
      <c r="G39" s="69"/>
      <c r="H39" s="69"/>
      <c r="I39" s="69"/>
      <c r="J39" s="69"/>
      <c r="K39" s="69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48"/>
      <c r="B40" s="68" t="s">
        <v>625</v>
      </c>
      <c r="C40" s="67" t="s">
        <v>611</v>
      </c>
      <c r="D40" s="68" t="s">
        <v>619</v>
      </c>
      <c r="E40" s="106"/>
      <c r="F40" s="105"/>
      <c r="G40" s="69"/>
      <c r="H40" s="69"/>
      <c r="I40" s="69"/>
      <c r="J40" s="69"/>
      <c r="K40" s="69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48"/>
      <c r="B41" s="71" t="s">
        <v>621</v>
      </c>
      <c r="C41" s="67" t="s">
        <v>616</v>
      </c>
      <c r="D41" s="71">
        <v>1</v>
      </c>
      <c r="E41" s="106" t="s">
        <v>623</v>
      </c>
      <c r="F41" s="105"/>
      <c r="G41" s="69"/>
      <c r="H41" s="69"/>
      <c r="I41" s="69"/>
      <c r="J41" s="69"/>
      <c r="K41" s="69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48"/>
      <c r="B42" s="71" t="s">
        <v>629</v>
      </c>
      <c r="C42" s="67" t="s">
        <v>611</v>
      </c>
      <c r="D42" s="71">
        <v>2</v>
      </c>
      <c r="E42" s="106" t="s">
        <v>631</v>
      </c>
      <c r="F42" s="105"/>
      <c r="G42" s="69"/>
      <c r="H42" s="69"/>
      <c r="I42" s="69"/>
      <c r="J42" s="69"/>
      <c r="K42" s="69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148"/>
      <c r="B43" s="71" t="s">
        <v>630</v>
      </c>
      <c r="C43" s="67" t="s">
        <v>316</v>
      </c>
      <c r="D43" s="71">
        <v>2</v>
      </c>
      <c r="E43" s="108" t="s">
        <v>632</v>
      </c>
      <c r="F43" s="107"/>
      <c r="G43" s="69"/>
      <c r="H43" s="69"/>
      <c r="I43" s="69"/>
      <c r="J43" s="69"/>
      <c r="K43" s="69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148" t="s">
        <v>371</v>
      </c>
      <c r="B44" s="72" t="s">
        <v>372</v>
      </c>
      <c r="C44" s="72" t="s">
        <v>316</v>
      </c>
      <c r="D44" s="72" t="s">
        <v>503</v>
      </c>
      <c r="E44" s="106"/>
      <c r="F44" s="66"/>
      <c r="G44" s="69"/>
      <c r="H44" s="69"/>
      <c r="I44" s="69"/>
      <c r="J44" s="69"/>
      <c r="K44" s="69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148"/>
      <c r="B45" s="72" t="s">
        <v>373</v>
      </c>
      <c r="C45" s="72" t="s">
        <v>316</v>
      </c>
      <c r="D45" s="72" t="s">
        <v>503</v>
      </c>
      <c r="E45" s="106"/>
      <c r="F45" s="66"/>
      <c r="G45" s="106"/>
      <c r="H45" s="106"/>
      <c r="I45" s="106"/>
      <c r="J45" s="106"/>
      <c r="K45" s="106"/>
      <c r="L45" s="106"/>
      <c r="M45" s="106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48"/>
      <c r="B46" s="72" t="s">
        <v>374</v>
      </c>
      <c r="C46" s="72" t="s">
        <v>316</v>
      </c>
      <c r="D46" s="72" t="s">
        <v>504</v>
      </c>
      <c r="E46" s="106"/>
      <c r="F46" s="66"/>
      <c r="G46" s="106"/>
      <c r="H46" s="106"/>
      <c r="I46" s="106"/>
      <c r="J46" s="106"/>
      <c r="K46" s="106"/>
      <c r="L46" s="106"/>
      <c r="M46" s="106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48"/>
      <c r="B47" s="72" t="s">
        <v>375</v>
      </c>
      <c r="C47" s="72" t="s">
        <v>316</v>
      </c>
      <c r="D47" s="72" t="s">
        <v>505</v>
      </c>
      <c r="E47" s="106"/>
      <c r="F47" s="66"/>
      <c r="G47" s="106"/>
      <c r="H47" s="106"/>
      <c r="I47" s="106"/>
      <c r="J47" s="106"/>
      <c r="K47" s="106"/>
      <c r="L47" s="106"/>
      <c r="M47" s="106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48"/>
      <c r="B48" s="72" t="s">
        <v>376</v>
      </c>
      <c r="C48" s="72" t="s">
        <v>315</v>
      </c>
      <c r="D48" s="72" t="s">
        <v>505</v>
      </c>
      <c r="E48" s="106"/>
      <c r="F48" s="66"/>
      <c r="G48" s="106"/>
      <c r="H48" s="106"/>
      <c r="I48" s="106"/>
      <c r="J48" s="106"/>
      <c r="K48" s="106"/>
      <c r="L48" s="106"/>
      <c r="M48" s="106"/>
    </row>
    <row r="49" spans="1:14" x14ac:dyDescent="0.2">
      <c r="A49" s="148"/>
      <c r="B49" s="72" t="s">
        <v>377</v>
      </c>
      <c r="C49" s="72" t="s">
        <v>316</v>
      </c>
      <c r="D49" s="72" t="s">
        <v>503</v>
      </c>
      <c r="E49" s="106"/>
      <c r="F49" s="66"/>
      <c r="G49" s="106"/>
      <c r="H49" s="106"/>
      <c r="I49" s="106"/>
      <c r="J49" s="106"/>
      <c r="K49" s="106"/>
      <c r="L49" s="106"/>
      <c r="M49" s="106"/>
    </row>
    <row r="50" spans="1:14" x14ac:dyDescent="0.2">
      <c r="A50" s="148"/>
      <c r="B50" s="72" t="s">
        <v>378</v>
      </c>
      <c r="C50" s="72" t="s">
        <v>316</v>
      </c>
      <c r="D50" s="72" t="s">
        <v>503</v>
      </c>
      <c r="E50" s="106"/>
      <c r="F50" s="66"/>
      <c r="G50" s="106"/>
      <c r="H50" s="106"/>
      <c r="I50" s="106"/>
      <c r="J50" s="106"/>
      <c r="K50" s="106"/>
      <c r="L50" s="106"/>
      <c r="M50" s="106"/>
    </row>
    <row r="51" spans="1:14" x14ac:dyDescent="0.2">
      <c r="A51" s="148"/>
      <c r="B51" s="72" t="s">
        <v>379</v>
      </c>
      <c r="C51" s="72" t="s">
        <v>316</v>
      </c>
      <c r="D51" s="72" t="s">
        <v>504</v>
      </c>
      <c r="E51" s="106"/>
      <c r="F51" s="66"/>
      <c r="G51" s="106"/>
      <c r="H51" s="106"/>
      <c r="I51" s="106"/>
      <c r="J51" s="106"/>
      <c r="K51" s="106"/>
      <c r="L51" s="106"/>
      <c r="M51" s="106"/>
    </row>
    <row r="52" spans="1:14" x14ac:dyDescent="0.2">
      <c r="A52" s="148"/>
      <c r="B52" s="72" t="s">
        <v>380</v>
      </c>
      <c r="C52" s="72" t="s">
        <v>316</v>
      </c>
      <c r="D52" s="72" t="s">
        <v>506</v>
      </c>
      <c r="E52" s="106"/>
      <c r="F52" s="66"/>
      <c r="G52" s="106"/>
      <c r="H52" s="106"/>
      <c r="I52" s="106"/>
      <c r="J52" s="106"/>
      <c r="K52" s="106"/>
      <c r="L52" s="106"/>
      <c r="M52" s="106"/>
    </row>
    <row r="53" spans="1:14" x14ac:dyDescent="0.2">
      <c r="A53" s="148"/>
      <c r="B53" s="72" t="s">
        <v>381</v>
      </c>
      <c r="C53" s="72" t="s">
        <v>315</v>
      </c>
      <c r="D53" s="72" t="s">
        <v>506</v>
      </c>
      <c r="E53" s="106"/>
      <c r="F53" s="66"/>
      <c r="G53" s="106"/>
      <c r="H53" s="106"/>
      <c r="I53" s="106"/>
      <c r="J53" s="106"/>
      <c r="K53" s="106"/>
      <c r="L53" s="106"/>
      <c r="M53" s="106"/>
    </row>
    <row r="54" spans="1:14" x14ac:dyDescent="0.2">
      <c r="A54" s="148" t="s">
        <v>341</v>
      </c>
      <c r="B54" s="72" t="s">
        <v>385</v>
      </c>
      <c r="C54" s="72" t="s">
        <v>316</v>
      </c>
      <c r="D54" s="72"/>
      <c r="E54" s="106"/>
      <c r="F54" s="66"/>
      <c r="G54" s="106"/>
      <c r="H54" s="106"/>
      <c r="I54" s="106"/>
      <c r="J54" s="106"/>
      <c r="K54" s="106"/>
      <c r="L54" s="106"/>
      <c r="M54" s="106"/>
    </row>
    <row r="55" spans="1:14" x14ac:dyDescent="0.2">
      <c r="A55" s="148"/>
      <c r="B55" s="72" t="s">
        <v>386</v>
      </c>
      <c r="C55" s="72" t="s">
        <v>316</v>
      </c>
      <c r="D55" s="72"/>
      <c r="E55" s="106"/>
      <c r="F55" s="66"/>
      <c r="G55" s="106"/>
      <c r="H55" s="106"/>
      <c r="I55" s="106"/>
      <c r="J55" s="106"/>
      <c r="K55" s="106"/>
      <c r="L55" s="106"/>
      <c r="M55" s="106"/>
    </row>
    <row r="56" spans="1:14" x14ac:dyDescent="0.2">
      <c r="A56" s="148"/>
      <c r="B56" s="72" t="s">
        <v>387</v>
      </c>
      <c r="C56" s="72" t="s">
        <v>316</v>
      </c>
      <c r="D56" s="72" t="s">
        <v>382</v>
      </c>
      <c r="E56" s="106"/>
      <c r="F56" s="66"/>
      <c r="G56" s="106"/>
      <c r="H56" s="106"/>
      <c r="I56" s="106"/>
      <c r="J56" s="106"/>
      <c r="K56" s="106"/>
      <c r="L56" s="106"/>
      <c r="M56" s="106"/>
    </row>
    <row r="57" spans="1:14" x14ac:dyDescent="0.2">
      <c r="A57" s="148"/>
      <c r="B57" s="72" t="s">
        <v>388</v>
      </c>
      <c r="C57" s="72" t="s">
        <v>316</v>
      </c>
      <c r="D57" s="72" t="s">
        <v>383</v>
      </c>
      <c r="E57" s="106"/>
      <c r="F57" s="66"/>
      <c r="G57" s="106"/>
      <c r="H57" s="106"/>
      <c r="I57" s="106"/>
      <c r="J57" s="106"/>
      <c r="K57" s="106"/>
      <c r="L57" s="106"/>
      <c r="M57" s="106"/>
    </row>
    <row r="58" spans="1:14" x14ac:dyDescent="0.2">
      <c r="A58" s="148"/>
      <c r="B58" s="72" t="s">
        <v>389</v>
      </c>
      <c r="C58" s="72" t="s">
        <v>315</v>
      </c>
      <c r="D58" s="72" t="s">
        <v>383</v>
      </c>
      <c r="E58" s="106"/>
      <c r="F58" s="70"/>
      <c r="G58" s="106"/>
      <c r="H58" s="106"/>
      <c r="I58" s="106"/>
      <c r="J58" s="106"/>
      <c r="K58" s="106"/>
      <c r="L58" s="106"/>
      <c r="M58" s="106"/>
    </row>
    <row r="59" spans="1:14" x14ac:dyDescent="0.2">
      <c r="A59" s="148"/>
      <c r="B59" s="72" t="s">
        <v>390</v>
      </c>
      <c r="C59" s="72" t="s">
        <v>316</v>
      </c>
      <c r="D59" s="72"/>
      <c r="E59" s="106"/>
      <c r="F59" s="70"/>
      <c r="G59" s="106"/>
      <c r="H59" s="106"/>
      <c r="I59" s="106"/>
      <c r="J59" s="106"/>
      <c r="K59" s="106"/>
      <c r="L59" s="106"/>
      <c r="M59" s="106"/>
    </row>
    <row r="60" spans="1:14" x14ac:dyDescent="0.2">
      <c r="A60" s="148"/>
      <c r="B60" s="72" t="s">
        <v>391</v>
      </c>
      <c r="C60" s="72" t="s">
        <v>316</v>
      </c>
      <c r="D60" s="72"/>
      <c r="E60" s="106"/>
      <c r="F60" s="70"/>
      <c r="G60" s="106"/>
      <c r="H60" s="106"/>
      <c r="I60" s="106"/>
      <c r="J60" s="106"/>
      <c r="K60" s="106"/>
      <c r="L60" s="106"/>
      <c r="M60" s="106"/>
    </row>
    <row r="61" spans="1:14" x14ac:dyDescent="0.2">
      <c r="A61" s="148"/>
      <c r="B61" s="72" t="s">
        <v>392</v>
      </c>
      <c r="C61" s="72" t="s">
        <v>316</v>
      </c>
      <c r="D61" s="72" t="s">
        <v>382</v>
      </c>
      <c r="E61" s="106"/>
      <c r="F61" s="70"/>
      <c r="G61" s="106"/>
      <c r="H61" s="106"/>
      <c r="I61" s="106"/>
      <c r="J61" s="106"/>
      <c r="K61" s="106"/>
      <c r="L61" s="106"/>
      <c r="M61" s="106"/>
      <c r="N61" s="106"/>
    </row>
    <row r="62" spans="1:14" x14ac:dyDescent="0.2">
      <c r="A62" s="148"/>
      <c r="B62" s="72" t="s">
        <v>393</v>
      </c>
      <c r="C62" s="72" t="s">
        <v>316</v>
      </c>
      <c r="D62" s="72" t="s">
        <v>384</v>
      </c>
      <c r="E62" s="106"/>
      <c r="F62" s="70"/>
      <c r="G62" s="70"/>
      <c r="H62" s="70"/>
      <c r="I62" s="70"/>
      <c r="J62" s="70"/>
      <c r="K62" s="70"/>
    </row>
    <row r="63" spans="1:14" x14ac:dyDescent="0.2">
      <c r="A63" s="148"/>
      <c r="B63" s="72" t="s">
        <v>394</v>
      </c>
      <c r="C63" s="72" t="s">
        <v>315</v>
      </c>
      <c r="D63" s="72" t="s">
        <v>384</v>
      </c>
      <c r="E63" s="106"/>
      <c r="F63" s="70"/>
      <c r="G63" s="70"/>
      <c r="H63" s="70"/>
      <c r="I63" s="70"/>
      <c r="J63" s="70"/>
      <c r="K63" s="70"/>
    </row>
    <row r="64" spans="1:14" x14ac:dyDescent="0.2">
      <c r="A64" s="72" t="s">
        <v>395</v>
      </c>
      <c r="B64" s="72" t="s">
        <v>396</v>
      </c>
      <c r="C64" s="70"/>
      <c r="D64" s="70"/>
      <c r="E64" s="106"/>
      <c r="F64" s="70"/>
      <c r="G64" s="70"/>
      <c r="H64" s="70"/>
      <c r="I64" s="70"/>
      <c r="J64" s="70"/>
      <c r="K64" s="70"/>
    </row>
    <row r="65" spans="1:11" x14ac:dyDescent="0.2">
      <c r="A65" s="1"/>
      <c r="B65" s="1"/>
      <c r="C65" s="1"/>
      <c r="D65" s="1"/>
      <c r="E65" s="69"/>
      <c r="F65" s="70"/>
      <c r="G65" s="70"/>
      <c r="H65" s="70"/>
      <c r="I65" s="70"/>
      <c r="J65" s="70"/>
      <c r="K65" s="70"/>
    </row>
  </sheetData>
  <mergeCells count="11">
    <mergeCell ref="A7:A9"/>
    <mergeCell ref="A1:K2"/>
    <mergeCell ref="A4:A5"/>
    <mergeCell ref="A54:A63"/>
    <mergeCell ref="A26:A32"/>
    <mergeCell ref="A33:A35"/>
    <mergeCell ref="A44:A53"/>
    <mergeCell ref="J17:K17"/>
    <mergeCell ref="A20:A25"/>
    <mergeCell ref="A10:A19"/>
    <mergeCell ref="A36:A4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3CF7-2F7A-437F-9FBB-913E15A5BF0A}">
  <dimension ref="A1:I45"/>
  <sheetViews>
    <sheetView workbookViewId="0">
      <pane ySplit="1" topLeftCell="A2" activePane="bottomLeft" state="frozen"/>
      <selection pane="bottomLeft" activeCell="O30" sqref="O30"/>
    </sheetView>
  </sheetViews>
  <sheetFormatPr defaultRowHeight="14.25" x14ac:dyDescent="0.2"/>
  <cols>
    <col min="1" max="1" width="6" style="60" customWidth="1"/>
    <col min="2" max="2" width="5.25" style="60" customWidth="1"/>
    <col min="3" max="3" width="7.125" style="60" customWidth="1"/>
    <col min="4" max="4" width="6.875" style="60" customWidth="1"/>
    <col min="5" max="5" width="6.625" style="60" customWidth="1"/>
    <col min="6" max="6" width="4.375" style="60" customWidth="1"/>
    <col min="7" max="7" width="3" style="60" customWidth="1"/>
    <col min="8" max="8" width="3.75" style="60" customWidth="1"/>
    <col min="9" max="9" width="25.5" style="60" customWidth="1"/>
    <col min="10" max="16384" width="9" style="60"/>
  </cols>
  <sheetData>
    <row r="1" spans="1:9" ht="32.25" customHeight="1" x14ac:dyDescent="0.2">
      <c r="A1" s="102" t="s">
        <v>484</v>
      </c>
      <c r="B1" s="102" t="s">
        <v>485</v>
      </c>
      <c r="C1" s="103" t="s">
        <v>486</v>
      </c>
      <c r="D1" s="102" t="s">
        <v>490</v>
      </c>
      <c r="E1" s="102" t="s">
        <v>487</v>
      </c>
      <c r="F1" s="102" t="s">
        <v>488</v>
      </c>
      <c r="G1" s="102" t="s">
        <v>535</v>
      </c>
      <c r="H1" s="102" t="s">
        <v>536</v>
      </c>
      <c r="I1" s="104" t="s">
        <v>499</v>
      </c>
    </row>
    <row r="2" spans="1:9" x14ac:dyDescent="0.2">
      <c r="A2" s="153" t="s">
        <v>284</v>
      </c>
      <c r="B2" s="153" t="s">
        <v>258</v>
      </c>
      <c r="C2" s="152" t="s">
        <v>274</v>
      </c>
      <c r="D2" s="156" t="s">
        <v>491</v>
      </c>
      <c r="E2" s="89" t="s">
        <v>276</v>
      </c>
      <c r="F2" s="89">
        <v>4</v>
      </c>
      <c r="G2" s="89">
        <v>4</v>
      </c>
      <c r="H2" s="89">
        <v>0</v>
      </c>
      <c r="I2" s="94" t="s">
        <v>537</v>
      </c>
    </row>
    <row r="3" spans="1:9" x14ac:dyDescent="0.2">
      <c r="A3" s="153"/>
      <c r="B3" s="153"/>
      <c r="C3" s="152"/>
      <c r="D3" s="156" t="s">
        <v>491</v>
      </c>
      <c r="E3" s="89" t="s">
        <v>274</v>
      </c>
      <c r="F3" s="89">
        <v>1</v>
      </c>
      <c r="G3" s="89">
        <v>0</v>
      </c>
      <c r="H3" s="89">
        <v>1</v>
      </c>
      <c r="I3" s="94"/>
    </row>
    <row r="4" spans="1:9" x14ac:dyDescent="0.2">
      <c r="A4" s="153"/>
      <c r="B4" s="153"/>
      <c r="C4" s="152"/>
      <c r="D4" s="156" t="s">
        <v>492</v>
      </c>
      <c r="E4" s="89" t="s">
        <v>276</v>
      </c>
      <c r="F4" s="89">
        <v>4</v>
      </c>
      <c r="G4" s="89">
        <v>4</v>
      </c>
      <c r="H4" s="89">
        <v>0</v>
      </c>
      <c r="I4" s="94" t="s">
        <v>537</v>
      </c>
    </row>
    <row r="5" spans="1:9" x14ac:dyDescent="0.2">
      <c r="A5" s="153"/>
      <c r="B5" s="153"/>
      <c r="C5" s="152"/>
      <c r="D5" s="156" t="s">
        <v>492</v>
      </c>
      <c r="E5" s="89" t="s">
        <v>274</v>
      </c>
      <c r="F5" s="89">
        <v>1</v>
      </c>
      <c r="G5" s="89">
        <v>0</v>
      </c>
      <c r="H5" s="89">
        <v>1</v>
      </c>
      <c r="I5" s="94"/>
    </row>
    <row r="6" spans="1:9" x14ac:dyDescent="0.2">
      <c r="A6" s="153"/>
      <c r="B6" s="153"/>
      <c r="C6" s="152"/>
      <c r="D6" s="156" t="s">
        <v>493</v>
      </c>
      <c r="E6" s="89" t="s">
        <v>276</v>
      </c>
      <c r="F6" s="89">
        <v>4</v>
      </c>
      <c r="G6" s="89">
        <v>4</v>
      </c>
      <c r="H6" s="89">
        <v>0</v>
      </c>
      <c r="I6" s="94" t="s">
        <v>537</v>
      </c>
    </row>
    <row r="7" spans="1:9" x14ac:dyDescent="0.2">
      <c r="A7" s="153"/>
      <c r="B7" s="153"/>
      <c r="C7" s="152"/>
      <c r="D7" s="156" t="s">
        <v>493</v>
      </c>
      <c r="E7" s="89" t="s">
        <v>274</v>
      </c>
      <c r="F7" s="89">
        <v>1</v>
      </c>
      <c r="G7" s="89">
        <v>0</v>
      </c>
      <c r="H7" s="89">
        <v>1</v>
      </c>
      <c r="I7" s="94"/>
    </row>
    <row r="8" spans="1:9" x14ac:dyDescent="0.2">
      <c r="A8" s="153"/>
      <c r="B8" s="153"/>
      <c r="C8" s="152"/>
      <c r="D8" s="156" t="s">
        <v>494</v>
      </c>
      <c r="E8" s="89" t="s">
        <v>276</v>
      </c>
      <c r="F8" s="89">
        <v>4</v>
      </c>
      <c r="G8" s="89">
        <v>4</v>
      </c>
      <c r="H8" s="89">
        <v>0</v>
      </c>
      <c r="I8" s="94" t="s">
        <v>537</v>
      </c>
    </row>
    <row r="9" spans="1:9" x14ac:dyDescent="0.2">
      <c r="A9" s="153"/>
      <c r="B9" s="153"/>
      <c r="C9" s="152"/>
      <c r="D9" s="156" t="s">
        <v>494</v>
      </c>
      <c r="E9" s="89" t="s">
        <v>274</v>
      </c>
      <c r="F9" s="89">
        <v>1</v>
      </c>
      <c r="G9" s="89">
        <v>0</v>
      </c>
      <c r="H9" s="89">
        <v>0</v>
      </c>
      <c r="I9" s="94"/>
    </row>
    <row r="10" spans="1:9" x14ac:dyDescent="0.2">
      <c r="A10" s="153"/>
      <c r="B10" s="153"/>
      <c r="C10" s="152" t="s">
        <v>275</v>
      </c>
      <c r="D10" s="89" t="s">
        <v>491</v>
      </c>
      <c r="E10" s="89" t="s">
        <v>275</v>
      </c>
      <c r="F10" s="89">
        <v>1</v>
      </c>
      <c r="G10" s="89">
        <v>0</v>
      </c>
      <c r="H10" s="89">
        <v>1</v>
      </c>
      <c r="I10" s="94"/>
    </row>
    <row r="11" spans="1:9" x14ac:dyDescent="0.2">
      <c r="A11" s="153"/>
      <c r="B11" s="153"/>
      <c r="C11" s="152"/>
      <c r="D11" s="89" t="s">
        <v>492</v>
      </c>
      <c r="E11" s="89" t="s">
        <v>275</v>
      </c>
      <c r="F11" s="89">
        <v>1</v>
      </c>
      <c r="G11" s="89">
        <v>0</v>
      </c>
      <c r="H11" s="89">
        <v>1</v>
      </c>
      <c r="I11" s="94"/>
    </row>
    <row r="12" spans="1:9" ht="12.75" customHeight="1" x14ac:dyDescent="0.2">
      <c r="A12" s="153"/>
      <c r="B12" s="153"/>
      <c r="C12" s="152"/>
      <c r="D12" s="89" t="s">
        <v>494</v>
      </c>
      <c r="E12" s="89" t="s">
        <v>275</v>
      </c>
      <c r="F12" s="89">
        <v>1</v>
      </c>
      <c r="G12" s="89">
        <v>0</v>
      </c>
      <c r="H12" s="89">
        <v>0</v>
      </c>
      <c r="I12" s="94"/>
    </row>
    <row r="13" spans="1:9" x14ac:dyDescent="0.2">
      <c r="A13" s="153"/>
      <c r="B13" s="153"/>
      <c r="C13" s="152" t="s">
        <v>495</v>
      </c>
      <c r="D13" s="89" t="s">
        <v>491</v>
      </c>
      <c r="E13" s="89" t="s">
        <v>280</v>
      </c>
      <c r="F13" s="89">
        <v>1</v>
      </c>
      <c r="G13" s="89">
        <v>0</v>
      </c>
      <c r="H13" s="89">
        <v>1</v>
      </c>
      <c r="I13" s="94"/>
    </row>
    <row r="14" spans="1:9" x14ac:dyDescent="0.2">
      <c r="A14" s="153"/>
      <c r="B14" s="153"/>
      <c r="C14" s="152" t="s">
        <v>495</v>
      </c>
      <c r="D14" s="89" t="s">
        <v>492</v>
      </c>
      <c r="E14" s="89" t="s">
        <v>280</v>
      </c>
      <c r="F14" s="89">
        <v>1</v>
      </c>
      <c r="G14" s="89">
        <v>0</v>
      </c>
      <c r="H14" s="89">
        <v>1</v>
      </c>
      <c r="I14" s="94"/>
    </row>
    <row r="15" spans="1:9" x14ac:dyDescent="0.2">
      <c r="A15" s="153"/>
      <c r="B15" s="153"/>
      <c r="C15" s="152" t="s">
        <v>495</v>
      </c>
      <c r="D15" s="89" t="s">
        <v>494</v>
      </c>
      <c r="E15" s="89" t="s">
        <v>280</v>
      </c>
      <c r="F15" s="89">
        <v>1</v>
      </c>
      <c r="G15" s="89">
        <v>0</v>
      </c>
      <c r="H15" s="89">
        <v>0</v>
      </c>
      <c r="I15" s="94"/>
    </row>
    <row r="16" spans="1:9" x14ac:dyDescent="0.2">
      <c r="A16" s="153"/>
      <c r="B16" s="153"/>
      <c r="C16" s="152" t="s">
        <v>489</v>
      </c>
      <c r="D16" s="89" t="s">
        <v>491</v>
      </c>
      <c r="E16" s="89" t="s">
        <v>280</v>
      </c>
      <c r="F16" s="89">
        <v>4</v>
      </c>
      <c r="G16" s="89">
        <v>0</v>
      </c>
      <c r="H16" s="89">
        <v>4</v>
      </c>
      <c r="I16" s="94" t="s">
        <v>501</v>
      </c>
    </row>
    <row r="17" spans="1:9" x14ac:dyDescent="0.2">
      <c r="A17" s="153"/>
      <c r="B17" s="153"/>
      <c r="C17" s="152"/>
      <c r="D17" s="89" t="s">
        <v>494</v>
      </c>
      <c r="E17" s="89" t="s">
        <v>280</v>
      </c>
      <c r="F17" s="89">
        <v>4</v>
      </c>
      <c r="G17" s="89">
        <v>0</v>
      </c>
      <c r="H17" s="89">
        <v>0</v>
      </c>
      <c r="I17" s="94" t="s">
        <v>501</v>
      </c>
    </row>
    <row r="18" spans="1:9" x14ac:dyDescent="0.2">
      <c r="A18" s="153"/>
      <c r="B18" s="153" t="s">
        <v>263</v>
      </c>
      <c r="C18" s="152" t="s">
        <v>276</v>
      </c>
      <c r="D18" s="89" t="s">
        <v>491</v>
      </c>
      <c r="E18" s="89" t="s">
        <v>276</v>
      </c>
      <c r="F18" s="89">
        <v>1</v>
      </c>
      <c r="G18" s="89">
        <v>1</v>
      </c>
      <c r="H18" s="89">
        <v>1</v>
      </c>
      <c r="I18" s="94"/>
    </row>
    <row r="19" spans="1:9" x14ac:dyDescent="0.2">
      <c r="A19" s="153"/>
      <c r="B19" s="153"/>
      <c r="C19" s="152" t="s">
        <v>276</v>
      </c>
      <c r="D19" s="89" t="s">
        <v>492</v>
      </c>
      <c r="E19" s="89" t="s">
        <v>276</v>
      </c>
      <c r="F19" s="89">
        <v>1</v>
      </c>
      <c r="G19" s="89">
        <v>1</v>
      </c>
      <c r="H19" s="89">
        <v>1</v>
      </c>
      <c r="I19" s="94"/>
    </row>
    <row r="20" spans="1:9" x14ac:dyDescent="0.2">
      <c r="A20" s="153"/>
      <c r="B20" s="153"/>
      <c r="C20" s="152" t="s">
        <v>276</v>
      </c>
      <c r="D20" s="89" t="s">
        <v>493</v>
      </c>
      <c r="E20" s="89" t="s">
        <v>276</v>
      </c>
      <c r="F20" s="89">
        <v>1</v>
      </c>
      <c r="G20" s="89">
        <v>1</v>
      </c>
      <c r="H20" s="89">
        <v>1</v>
      </c>
      <c r="I20" s="94"/>
    </row>
    <row r="21" spans="1:9" x14ac:dyDescent="0.2">
      <c r="A21" s="153"/>
      <c r="B21" s="153"/>
      <c r="C21" s="152" t="s">
        <v>276</v>
      </c>
      <c r="D21" s="89" t="s">
        <v>494</v>
      </c>
      <c r="E21" s="89" t="s">
        <v>276</v>
      </c>
      <c r="F21" s="89">
        <v>1</v>
      </c>
      <c r="G21" s="89">
        <v>1</v>
      </c>
      <c r="H21" s="89">
        <v>0</v>
      </c>
      <c r="I21" s="94"/>
    </row>
    <row r="22" spans="1:9" x14ac:dyDescent="0.2">
      <c r="A22" s="153"/>
      <c r="B22" s="153"/>
      <c r="C22" s="152" t="s">
        <v>274</v>
      </c>
      <c r="D22" s="89" t="s">
        <v>491</v>
      </c>
      <c r="E22" s="89" t="s">
        <v>274</v>
      </c>
      <c r="F22" s="89">
        <v>1</v>
      </c>
      <c r="G22" s="89">
        <v>0</v>
      </c>
      <c r="H22" s="89">
        <v>1</v>
      </c>
      <c r="I22" s="94"/>
    </row>
    <row r="23" spans="1:9" x14ac:dyDescent="0.2">
      <c r="A23" s="153"/>
      <c r="B23" s="153"/>
      <c r="C23" s="152" t="s">
        <v>274</v>
      </c>
      <c r="D23" s="89" t="s">
        <v>492</v>
      </c>
      <c r="E23" s="89" t="s">
        <v>274</v>
      </c>
      <c r="F23" s="89">
        <v>1</v>
      </c>
      <c r="G23" s="89">
        <v>0</v>
      </c>
      <c r="H23" s="89">
        <v>1</v>
      </c>
      <c r="I23" s="94"/>
    </row>
    <row r="24" spans="1:9" x14ac:dyDescent="0.2">
      <c r="A24" s="153"/>
      <c r="B24" s="153"/>
      <c r="C24" s="152" t="s">
        <v>274</v>
      </c>
      <c r="D24" s="89" t="s">
        <v>494</v>
      </c>
      <c r="E24" s="89" t="s">
        <v>274</v>
      </c>
      <c r="F24" s="89">
        <v>1</v>
      </c>
      <c r="G24" s="89">
        <v>0</v>
      </c>
      <c r="H24" s="89">
        <v>0</v>
      </c>
      <c r="I24" s="94"/>
    </row>
    <row r="25" spans="1:9" x14ac:dyDescent="0.2">
      <c r="A25" s="153"/>
      <c r="B25" s="153"/>
      <c r="C25" s="152" t="s">
        <v>275</v>
      </c>
      <c r="D25" s="89" t="s">
        <v>491</v>
      </c>
      <c r="E25" s="89" t="s">
        <v>275</v>
      </c>
      <c r="F25" s="89">
        <v>1</v>
      </c>
      <c r="G25" s="89">
        <v>0</v>
      </c>
      <c r="H25" s="89">
        <v>1</v>
      </c>
      <c r="I25" s="94"/>
    </row>
    <row r="26" spans="1:9" x14ac:dyDescent="0.2">
      <c r="A26" s="153"/>
      <c r="B26" s="153"/>
      <c r="C26" s="152" t="s">
        <v>275</v>
      </c>
      <c r="D26" s="89" t="s">
        <v>492</v>
      </c>
      <c r="E26" s="89" t="s">
        <v>275</v>
      </c>
      <c r="F26" s="89">
        <v>1</v>
      </c>
      <c r="G26" s="89">
        <v>0</v>
      </c>
      <c r="H26" s="89">
        <v>1</v>
      </c>
      <c r="I26" s="94"/>
    </row>
    <row r="27" spans="1:9" x14ac:dyDescent="0.2">
      <c r="A27" s="153"/>
      <c r="B27" s="153"/>
      <c r="C27" s="152" t="s">
        <v>275</v>
      </c>
      <c r="D27" s="89" t="s">
        <v>494</v>
      </c>
      <c r="E27" s="89" t="s">
        <v>275</v>
      </c>
      <c r="F27" s="89">
        <v>1</v>
      </c>
      <c r="G27" s="89">
        <v>0</v>
      </c>
      <c r="H27" s="89">
        <v>0</v>
      </c>
      <c r="I27" s="94"/>
    </row>
    <row r="28" spans="1:9" x14ac:dyDescent="0.2">
      <c r="A28" s="153"/>
      <c r="B28" s="153"/>
      <c r="C28" s="152" t="s">
        <v>280</v>
      </c>
      <c r="D28" s="89" t="s">
        <v>491</v>
      </c>
      <c r="E28" s="89" t="s">
        <v>275</v>
      </c>
      <c r="F28" s="89">
        <v>4</v>
      </c>
      <c r="G28" s="89">
        <v>0</v>
      </c>
      <c r="H28" s="89">
        <v>1</v>
      </c>
      <c r="I28" s="94" t="s">
        <v>501</v>
      </c>
    </row>
    <row r="29" spans="1:9" x14ac:dyDescent="0.2">
      <c r="A29" s="153"/>
      <c r="B29" s="153"/>
      <c r="C29" s="152" t="s">
        <v>280</v>
      </c>
      <c r="D29" s="89" t="s">
        <v>494</v>
      </c>
      <c r="E29" s="89" t="s">
        <v>275</v>
      </c>
      <c r="F29" s="89">
        <v>4</v>
      </c>
      <c r="G29" s="89">
        <v>0</v>
      </c>
      <c r="H29" s="89">
        <v>0</v>
      </c>
      <c r="I29" s="94" t="s">
        <v>501</v>
      </c>
    </row>
    <row r="30" spans="1:9" x14ac:dyDescent="0.2">
      <c r="A30" s="153" t="s">
        <v>196</v>
      </c>
      <c r="B30" s="153" t="s">
        <v>258</v>
      </c>
      <c r="C30" s="152" t="s">
        <v>274</v>
      </c>
      <c r="D30" s="89" t="s">
        <v>580</v>
      </c>
      <c r="E30" s="89" t="s">
        <v>276</v>
      </c>
      <c r="F30" s="89">
        <v>1</v>
      </c>
      <c r="G30" s="89">
        <v>0</v>
      </c>
      <c r="H30" s="89">
        <v>1</v>
      </c>
      <c r="I30" s="94" t="s">
        <v>534</v>
      </c>
    </row>
    <row r="31" spans="1:9" x14ac:dyDescent="0.2">
      <c r="A31" s="153"/>
      <c r="B31" s="153"/>
      <c r="C31" s="152" t="s">
        <v>274</v>
      </c>
      <c r="D31" s="89" t="s">
        <v>494</v>
      </c>
      <c r="E31" s="89" t="s">
        <v>276</v>
      </c>
      <c r="F31" s="89">
        <v>1</v>
      </c>
      <c r="G31" s="89">
        <v>0</v>
      </c>
      <c r="H31" s="89">
        <v>0</v>
      </c>
      <c r="I31" s="94" t="s">
        <v>534</v>
      </c>
    </row>
    <row r="32" spans="1:9" x14ac:dyDescent="0.2">
      <c r="A32" s="153"/>
      <c r="B32" s="153"/>
      <c r="C32" s="152" t="s">
        <v>275</v>
      </c>
      <c r="D32" s="154" t="s">
        <v>580</v>
      </c>
      <c r="E32" s="89" t="s">
        <v>276</v>
      </c>
      <c r="F32" s="89">
        <v>1</v>
      </c>
      <c r="G32" s="89">
        <v>0</v>
      </c>
      <c r="H32" s="89">
        <v>0</v>
      </c>
      <c r="I32" s="94" t="s">
        <v>534</v>
      </c>
    </row>
    <row r="33" spans="1:9" x14ac:dyDescent="0.2">
      <c r="A33" s="153"/>
      <c r="B33" s="153"/>
      <c r="C33" s="152" t="s">
        <v>496</v>
      </c>
      <c r="D33" s="155"/>
      <c r="E33" s="89" t="s">
        <v>274</v>
      </c>
      <c r="F33" s="89">
        <v>1</v>
      </c>
      <c r="G33" s="89">
        <v>0</v>
      </c>
      <c r="H33" s="89">
        <v>1</v>
      </c>
      <c r="I33" s="94" t="s">
        <v>534</v>
      </c>
    </row>
    <row r="34" spans="1:9" x14ac:dyDescent="0.2">
      <c r="A34" s="153"/>
      <c r="B34" s="153"/>
      <c r="C34" s="152" t="s">
        <v>275</v>
      </c>
      <c r="D34" s="154" t="s">
        <v>494</v>
      </c>
      <c r="E34" s="89" t="s">
        <v>276</v>
      </c>
      <c r="F34" s="89">
        <v>1</v>
      </c>
      <c r="G34" s="89">
        <v>0</v>
      </c>
      <c r="H34" s="89">
        <v>0</v>
      </c>
      <c r="I34" s="94" t="s">
        <v>534</v>
      </c>
    </row>
    <row r="35" spans="1:9" x14ac:dyDescent="0.2">
      <c r="A35" s="153"/>
      <c r="B35" s="153"/>
      <c r="C35" s="152" t="s">
        <v>496</v>
      </c>
      <c r="D35" s="155"/>
      <c r="E35" s="89" t="s">
        <v>274</v>
      </c>
      <c r="F35" s="89">
        <v>1</v>
      </c>
      <c r="G35" s="89">
        <v>0</v>
      </c>
      <c r="H35" s="89">
        <v>0</v>
      </c>
      <c r="I35" s="94" t="s">
        <v>534</v>
      </c>
    </row>
    <row r="36" spans="1:9" x14ac:dyDescent="0.2">
      <c r="A36" s="153"/>
      <c r="B36" s="153" t="s">
        <v>263</v>
      </c>
      <c r="C36" s="152" t="s">
        <v>276</v>
      </c>
      <c r="D36" s="89" t="s">
        <v>580</v>
      </c>
      <c r="E36" s="89" t="s">
        <v>276</v>
      </c>
      <c r="F36" s="89">
        <v>1</v>
      </c>
      <c r="G36" s="89">
        <v>0</v>
      </c>
      <c r="H36" s="89">
        <v>1</v>
      </c>
      <c r="I36" s="94" t="s">
        <v>633</v>
      </c>
    </row>
    <row r="37" spans="1:9" x14ac:dyDescent="0.2">
      <c r="A37" s="153"/>
      <c r="B37" s="153"/>
      <c r="C37" s="152" t="s">
        <v>274</v>
      </c>
      <c r="D37" s="89" t="s">
        <v>494</v>
      </c>
      <c r="E37" s="89" t="s">
        <v>276</v>
      </c>
      <c r="F37" s="89">
        <v>1</v>
      </c>
      <c r="G37" s="89">
        <v>0</v>
      </c>
      <c r="H37" s="89">
        <v>0</v>
      </c>
      <c r="I37" s="94" t="s">
        <v>633</v>
      </c>
    </row>
    <row r="38" spans="1:9" x14ac:dyDescent="0.2">
      <c r="A38" s="153"/>
      <c r="B38" s="153"/>
      <c r="C38" s="152" t="s">
        <v>274</v>
      </c>
      <c r="D38" s="89" t="s">
        <v>491</v>
      </c>
      <c r="E38" s="89" t="s">
        <v>276</v>
      </c>
      <c r="F38" s="89">
        <v>1</v>
      </c>
      <c r="G38" s="89">
        <v>0</v>
      </c>
      <c r="H38" s="89">
        <v>1</v>
      </c>
      <c r="I38" s="94" t="s">
        <v>534</v>
      </c>
    </row>
    <row r="39" spans="1:9" x14ac:dyDescent="0.2">
      <c r="A39" s="153"/>
      <c r="B39" s="153"/>
      <c r="C39" s="152" t="s">
        <v>274</v>
      </c>
      <c r="D39" s="89" t="s">
        <v>494</v>
      </c>
      <c r="E39" s="89" t="s">
        <v>276</v>
      </c>
      <c r="F39" s="89">
        <v>1</v>
      </c>
      <c r="G39" s="89">
        <v>0</v>
      </c>
      <c r="H39" s="89">
        <v>0</v>
      </c>
      <c r="I39" s="94" t="s">
        <v>534</v>
      </c>
    </row>
    <row r="40" spans="1:9" x14ac:dyDescent="0.2">
      <c r="A40" s="153" t="s">
        <v>589</v>
      </c>
      <c r="B40" s="94" t="s">
        <v>592</v>
      </c>
      <c r="C40" s="94" t="s">
        <v>594</v>
      </c>
      <c r="D40" s="94"/>
      <c r="E40" s="94" t="s">
        <v>593</v>
      </c>
      <c r="F40" s="94">
        <v>4</v>
      </c>
      <c r="G40" s="94"/>
      <c r="H40" s="94"/>
      <c r="I40" s="94" t="s">
        <v>595</v>
      </c>
    </row>
    <row r="41" spans="1:9" x14ac:dyDescent="0.2">
      <c r="A41" s="153"/>
      <c r="B41" s="94" t="s">
        <v>590</v>
      </c>
      <c r="C41" s="94" t="s">
        <v>593</v>
      </c>
      <c r="D41" s="94"/>
      <c r="E41" s="94" t="s">
        <v>593</v>
      </c>
      <c r="F41" s="94">
        <v>1</v>
      </c>
      <c r="G41" s="94"/>
      <c r="H41" s="94"/>
      <c r="I41" s="94" t="s">
        <v>595</v>
      </c>
    </row>
    <row r="42" spans="1:9" x14ac:dyDescent="0.2">
      <c r="A42" s="153"/>
      <c r="B42" s="94" t="s">
        <v>591</v>
      </c>
      <c r="C42" s="94" t="s">
        <v>593</v>
      </c>
      <c r="D42" s="94"/>
      <c r="E42" s="94" t="s">
        <v>593</v>
      </c>
      <c r="F42" s="94">
        <v>1</v>
      </c>
      <c r="G42" s="94"/>
      <c r="H42" s="94"/>
      <c r="I42" s="94" t="s">
        <v>595</v>
      </c>
    </row>
    <row r="43" spans="1:9" x14ac:dyDescent="0.2">
      <c r="A43" s="153"/>
      <c r="B43" s="94" t="s">
        <v>596</v>
      </c>
      <c r="C43" s="94" t="s">
        <v>594</v>
      </c>
      <c r="D43" s="94"/>
      <c r="E43" s="94" t="s">
        <v>593</v>
      </c>
      <c r="F43" s="94">
        <v>4</v>
      </c>
      <c r="G43" s="94"/>
      <c r="H43" s="94"/>
      <c r="I43" s="94" t="s">
        <v>595</v>
      </c>
    </row>
    <row r="44" spans="1:9" x14ac:dyDescent="0.2">
      <c r="A44" s="153"/>
      <c r="B44" s="94" t="s">
        <v>597</v>
      </c>
      <c r="C44" s="94" t="s">
        <v>599</v>
      </c>
      <c r="D44" s="94"/>
      <c r="E44" s="94" t="s">
        <v>593</v>
      </c>
      <c r="F44" s="94">
        <v>2</v>
      </c>
      <c r="G44" s="94"/>
      <c r="H44" s="94"/>
      <c r="I44" s="94" t="s">
        <v>595</v>
      </c>
    </row>
    <row r="45" spans="1:9" x14ac:dyDescent="0.2">
      <c r="A45" s="153"/>
      <c r="B45" s="94" t="s">
        <v>598</v>
      </c>
      <c r="C45" s="94" t="s">
        <v>599</v>
      </c>
      <c r="D45" s="94"/>
      <c r="E45" s="94" t="s">
        <v>593</v>
      </c>
      <c r="F45" s="94">
        <v>2</v>
      </c>
      <c r="G45" s="94"/>
      <c r="H45" s="94"/>
      <c r="I45" s="94" t="s">
        <v>595</v>
      </c>
    </row>
  </sheetData>
  <mergeCells count="25">
    <mergeCell ref="A40:A45"/>
    <mergeCell ref="D32:D33"/>
    <mergeCell ref="D34:D35"/>
    <mergeCell ref="C2:C9"/>
    <mergeCell ref="C10:C12"/>
    <mergeCell ref="C13:C15"/>
    <mergeCell ref="C18:C21"/>
    <mergeCell ref="C22:C24"/>
    <mergeCell ref="C25:C27"/>
    <mergeCell ref="C16:C17"/>
    <mergeCell ref="D8:D9"/>
    <mergeCell ref="D6:D7"/>
    <mergeCell ref="D4:D5"/>
    <mergeCell ref="D2:D3"/>
    <mergeCell ref="C28:C29"/>
    <mergeCell ref="C30:C31"/>
    <mergeCell ref="C32:C35"/>
    <mergeCell ref="C36:C37"/>
    <mergeCell ref="C38:C39"/>
    <mergeCell ref="A30:A39"/>
    <mergeCell ref="B2:B17"/>
    <mergeCell ref="B18:B29"/>
    <mergeCell ref="B30:B35"/>
    <mergeCell ref="B36:B39"/>
    <mergeCell ref="A2:A2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6790-0C84-44DF-9CE1-7C181D6C9B9E}">
  <dimension ref="A1:BB61"/>
  <sheetViews>
    <sheetView showGridLines="0" zoomScale="70" zoomScaleNormal="70" workbookViewId="0">
      <selection activeCell="AB24" sqref="AB24"/>
    </sheetView>
  </sheetViews>
  <sheetFormatPr defaultRowHeight="14.25" x14ac:dyDescent="0.2"/>
  <cols>
    <col min="3" max="59" width="4.625" customWidth="1"/>
  </cols>
  <sheetData>
    <row r="1" spans="1:54" ht="15" thickBot="1" x14ac:dyDescent="0.25">
      <c r="A1" s="166" t="s">
        <v>284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8"/>
      <c r="AC1" s="166" t="s">
        <v>288</v>
      </c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8"/>
    </row>
    <row r="2" spans="1:54" ht="15" thickBot="1" x14ac:dyDescent="0.25">
      <c r="A2" t="s">
        <v>279</v>
      </c>
      <c r="H2" t="s">
        <v>287</v>
      </c>
      <c r="O2" t="s">
        <v>283</v>
      </c>
      <c r="AC2" t="s">
        <v>279</v>
      </c>
      <c r="AN2" t="s">
        <v>533</v>
      </c>
    </row>
    <row r="3" spans="1:54" ht="15" thickBot="1" x14ac:dyDescent="0.25">
      <c r="A3" t="s">
        <v>274</v>
      </c>
      <c r="C3" s="157" t="s">
        <v>277</v>
      </c>
      <c r="D3" s="158"/>
      <c r="E3" s="158"/>
      <c r="F3" s="159"/>
      <c r="H3" s="157" t="s">
        <v>278</v>
      </c>
      <c r="I3" s="159"/>
      <c r="J3" s="157">
        <v>1</v>
      </c>
      <c r="K3" s="159"/>
      <c r="O3" t="s">
        <v>276</v>
      </c>
      <c r="Q3" s="80" t="s">
        <v>478</v>
      </c>
      <c r="R3" s="81"/>
      <c r="AC3" t="s">
        <v>274</v>
      </c>
      <c r="AE3" t="s">
        <v>289</v>
      </c>
    </row>
    <row r="4" spans="1:54" ht="15" thickBot="1" x14ac:dyDescent="0.25">
      <c r="C4" s="163"/>
      <c r="D4" s="164"/>
      <c r="E4" s="164"/>
      <c r="F4" s="165"/>
      <c r="H4" s="160"/>
      <c r="I4" s="162"/>
      <c r="J4" s="160"/>
      <c r="K4" s="162"/>
      <c r="Q4" s="55"/>
      <c r="R4" s="57"/>
      <c r="AE4" s="157" t="s">
        <v>278</v>
      </c>
      <c r="AF4" s="159"/>
      <c r="AG4" s="157">
        <v>1</v>
      </c>
      <c r="AH4" s="159"/>
      <c r="AN4" s="157" t="s">
        <v>278</v>
      </c>
      <c r="AO4" s="159"/>
    </row>
    <row r="5" spans="1:54" ht="15" thickBot="1" x14ac:dyDescent="0.25">
      <c r="C5" s="157">
        <v>1</v>
      </c>
      <c r="D5" s="158"/>
      <c r="E5" s="158"/>
      <c r="F5" s="159"/>
      <c r="H5" s="160"/>
      <c r="I5" s="162"/>
      <c r="J5" s="160"/>
      <c r="K5" s="162"/>
      <c r="AE5" s="160"/>
      <c r="AF5" s="162"/>
      <c r="AG5" s="160"/>
      <c r="AH5" s="162"/>
      <c r="AN5" s="160"/>
      <c r="AO5" s="162"/>
    </row>
    <row r="6" spans="1:54" ht="15" thickBot="1" x14ac:dyDescent="0.25">
      <c r="C6" s="163"/>
      <c r="D6" s="164"/>
      <c r="E6" s="164"/>
      <c r="F6" s="165"/>
      <c r="H6" s="163"/>
      <c r="I6" s="165"/>
      <c r="J6" s="163"/>
      <c r="K6" s="165"/>
      <c r="Q6" s="80" t="s">
        <v>479</v>
      </c>
      <c r="R6" s="81"/>
      <c r="AE6" s="160"/>
      <c r="AF6" s="162"/>
      <c r="AG6" s="160"/>
      <c r="AH6" s="162"/>
      <c r="AN6" s="160"/>
      <c r="AO6" s="162"/>
    </row>
    <row r="7" spans="1:54" ht="15" thickBot="1" x14ac:dyDescent="0.25">
      <c r="C7" s="157">
        <v>2</v>
      </c>
      <c r="D7" s="158"/>
      <c r="E7" s="158"/>
      <c r="F7" s="159"/>
      <c r="H7" s="157">
        <v>2</v>
      </c>
      <c r="I7" s="159"/>
      <c r="J7" s="157">
        <v>3</v>
      </c>
      <c r="K7" s="159"/>
      <c r="Q7" s="55"/>
      <c r="R7" s="57"/>
      <c r="AE7" s="163"/>
      <c r="AF7" s="165"/>
      <c r="AG7" s="163"/>
      <c r="AH7" s="165"/>
      <c r="AN7" s="163"/>
      <c r="AO7" s="165"/>
    </row>
    <row r="8" spans="1:54" ht="15" thickBot="1" x14ac:dyDescent="0.25">
      <c r="C8" s="163"/>
      <c r="D8" s="164"/>
      <c r="E8" s="164"/>
      <c r="F8" s="165"/>
      <c r="H8" s="160"/>
      <c r="I8" s="162"/>
      <c r="J8" s="160"/>
      <c r="K8" s="162"/>
      <c r="AE8" s="157">
        <v>2</v>
      </c>
      <c r="AF8" s="159"/>
      <c r="AG8" s="157">
        <v>3</v>
      </c>
      <c r="AH8" s="159"/>
    </row>
    <row r="9" spans="1:54" x14ac:dyDescent="0.2">
      <c r="C9" s="53"/>
      <c r="D9" s="1"/>
      <c r="E9" s="1"/>
      <c r="F9" s="54"/>
      <c r="H9" s="160"/>
      <c r="I9" s="162"/>
      <c r="J9" s="160"/>
      <c r="K9" s="162"/>
      <c r="AE9" s="160"/>
      <c r="AF9" s="162"/>
      <c r="AG9" s="160"/>
      <c r="AH9" s="162"/>
    </row>
    <row r="10" spans="1:54" ht="15" thickBot="1" x14ac:dyDescent="0.25">
      <c r="C10" s="55"/>
      <c r="D10" s="56"/>
      <c r="E10" s="56"/>
      <c r="F10" s="57"/>
      <c r="H10" s="163"/>
      <c r="I10" s="165"/>
      <c r="J10" s="163"/>
      <c r="K10" s="165"/>
      <c r="AE10" s="160"/>
      <c r="AF10" s="162"/>
      <c r="AG10" s="160"/>
      <c r="AH10" s="162"/>
    </row>
    <row r="11" spans="1:54" ht="15" thickBot="1" x14ac:dyDescent="0.25">
      <c r="AE11" s="163"/>
      <c r="AF11" s="165"/>
      <c r="AG11" s="163"/>
      <c r="AH11" s="165"/>
    </row>
    <row r="12" spans="1:54" ht="15" thickBot="1" x14ac:dyDescent="0.25">
      <c r="A12" t="s">
        <v>258</v>
      </c>
      <c r="O12" t="s">
        <v>263</v>
      </c>
    </row>
    <row r="13" spans="1:54" ht="15" thickBot="1" x14ac:dyDescent="0.25">
      <c r="A13" t="s">
        <v>275</v>
      </c>
      <c r="C13" s="166" t="s">
        <v>281</v>
      </c>
      <c r="D13" s="167"/>
      <c r="E13" s="167"/>
      <c r="F13" s="168"/>
      <c r="O13" t="s">
        <v>274</v>
      </c>
      <c r="Q13" s="166" t="s">
        <v>290</v>
      </c>
      <c r="R13" s="167"/>
      <c r="S13" s="167"/>
      <c r="T13" s="168"/>
      <c r="V13" s="166" t="s">
        <v>291</v>
      </c>
      <c r="W13" s="167"/>
      <c r="X13" s="167"/>
      <c r="Y13" s="168"/>
      <c r="AC13" t="s">
        <v>275</v>
      </c>
      <c r="AE13" s="161" t="s">
        <v>292</v>
      </c>
      <c r="AF13" s="161"/>
      <c r="AG13" s="161"/>
      <c r="AH13" s="161"/>
      <c r="AN13" s="164" t="s">
        <v>287</v>
      </c>
      <c r="AO13" s="164"/>
      <c r="AP13" s="164"/>
      <c r="AQ13" s="164"/>
      <c r="AX13" t="s">
        <v>283</v>
      </c>
    </row>
    <row r="14" spans="1:54" ht="15" thickBot="1" x14ac:dyDescent="0.25">
      <c r="C14" s="157">
        <v>1</v>
      </c>
      <c r="D14" s="158"/>
      <c r="E14" s="158"/>
      <c r="F14" s="159"/>
      <c r="Q14" s="166">
        <v>1</v>
      </c>
      <c r="R14" s="167"/>
      <c r="S14" s="167"/>
      <c r="T14" s="168"/>
      <c r="V14" s="166">
        <v>1</v>
      </c>
      <c r="W14" s="167"/>
      <c r="X14" s="167"/>
      <c r="Y14" s="168"/>
      <c r="AE14" s="157">
        <v>0</v>
      </c>
      <c r="AF14" s="158"/>
      <c r="AG14" s="158"/>
      <c r="AH14" s="159"/>
      <c r="AI14" s="157">
        <v>2</v>
      </c>
      <c r="AJ14" s="158"/>
      <c r="AK14" s="158"/>
      <c r="AL14" s="159"/>
      <c r="AN14" s="157">
        <v>0</v>
      </c>
      <c r="AO14" s="159"/>
      <c r="AP14" s="157">
        <v>1</v>
      </c>
      <c r="AQ14" s="159"/>
      <c r="AR14" s="157">
        <v>8</v>
      </c>
      <c r="AS14" s="159"/>
      <c r="AT14" s="157">
        <v>9</v>
      </c>
      <c r="AU14" s="159"/>
      <c r="AX14" t="s">
        <v>274</v>
      </c>
      <c r="AY14" s="157" t="s">
        <v>278</v>
      </c>
      <c r="AZ14" s="159"/>
      <c r="BA14" s="157">
        <v>1</v>
      </c>
      <c r="BB14" s="159"/>
    </row>
    <row r="15" spans="1:54" ht="15" thickBot="1" x14ac:dyDescent="0.25">
      <c r="C15" s="53"/>
      <c r="D15" s="1"/>
      <c r="E15" s="1"/>
      <c r="F15" s="54"/>
      <c r="Q15" s="166">
        <v>2</v>
      </c>
      <c r="R15" s="167"/>
      <c r="S15" s="167"/>
      <c r="T15" s="168"/>
      <c r="V15" s="166">
        <v>2</v>
      </c>
      <c r="W15" s="167"/>
      <c r="X15" s="167"/>
      <c r="Y15" s="168"/>
      <c r="AE15" s="160"/>
      <c r="AF15" s="161"/>
      <c r="AG15" s="161"/>
      <c r="AH15" s="162"/>
      <c r="AI15" s="160"/>
      <c r="AJ15" s="161"/>
      <c r="AK15" s="161"/>
      <c r="AL15" s="162"/>
      <c r="AN15" s="163"/>
      <c r="AO15" s="165"/>
      <c r="AP15" s="163"/>
      <c r="AQ15" s="165"/>
      <c r="AR15" s="163"/>
      <c r="AS15" s="165"/>
      <c r="AT15" s="163"/>
      <c r="AU15" s="165"/>
      <c r="AY15" s="160"/>
      <c r="AZ15" s="162"/>
      <c r="BA15" s="160"/>
      <c r="BB15" s="162"/>
    </row>
    <row r="16" spans="1:54" ht="15" thickBot="1" x14ac:dyDescent="0.25">
      <c r="C16" s="53"/>
      <c r="D16" s="1"/>
      <c r="E16" s="1"/>
      <c r="F16" s="54"/>
      <c r="Q16" s="166">
        <v>3</v>
      </c>
      <c r="R16" s="167"/>
      <c r="S16" s="167"/>
      <c r="T16" s="168"/>
      <c r="V16" s="166">
        <v>3</v>
      </c>
      <c r="W16" s="167"/>
      <c r="X16" s="167"/>
      <c r="Y16" s="168"/>
      <c r="AE16" s="160"/>
      <c r="AF16" s="161"/>
      <c r="AG16" s="161"/>
      <c r="AH16" s="162"/>
      <c r="AI16" s="160"/>
      <c r="AJ16" s="161"/>
      <c r="AK16" s="161"/>
      <c r="AL16" s="162"/>
      <c r="AN16" s="157">
        <v>2</v>
      </c>
      <c r="AO16" s="159"/>
      <c r="AP16" s="157">
        <v>3</v>
      </c>
      <c r="AQ16" s="159"/>
      <c r="AR16" s="157">
        <v>10</v>
      </c>
      <c r="AS16" s="159"/>
      <c r="AT16" s="157">
        <v>11</v>
      </c>
      <c r="AU16" s="159"/>
      <c r="AY16" s="160"/>
      <c r="AZ16" s="162"/>
      <c r="BA16" s="160"/>
      <c r="BB16" s="162"/>
    </row>
    <row r="17" spans="1:54" ht="15" thickBot="1" x14ac:dyDescent="0.25">
      <c r="C17" s="53"/>
      <c r="D17" s="1"/>
      <c r="E17" s="1"/>
      <c r="F17" s="54"/>
      <c r="Q17" s="53"/>
      <c r="R17" s="1"/>
      <c r="S17" s="1"/>
      <c r="T17" s="54"/>
      <c r="V17" s="53"/>
      <c r="W17" s="1"/>
      <c r="X17" s="1"/>
      <c r="Y17" s="54"/>
      <c r="AE17" s="163"/>
      <c r="AF17" s="164"/>
      <c r="AG17" s="164"/>
      <c r="AH17" s="165"/>
      <c r="AI17" s="163"/>
      <c r="AJ17" s="164"/>
      <c r="AK17" s="164"/>
      <c r="AL17" s="165"/>
      <c r="AN17" s="163"/>
      <c r="AO17" s="165"/>
      <c r="AP17" s="163"/>
      <c r="AQ17" s="165"/>
      <c r="AR17" s="163"/>
      <c r="AS17" s="165"/>
      <c r="AT17" s="163"/>
      <c r="AU17" s="165"/>
      <c r="AY17" s="163"/>
      <c r="AZ17" s="165"/>
      <c r="BA17" s="163"/>
      <c r="BB17" s="165"/>
    </row>
    <row r="18" spans="1:54" x14ac:dyDescent="0.2">
      <c r="C18" s="53"/>
      <c r="D18" s="1"/>
      <c r="E18" s="1"/>
      <c r="F18" s="54"/>
      <c r="Q18" s="53"/>
      <c r="R18" s="1"/>
      <c r="S18" s="1"/>
      <c r="T18" s="54"/>
      <c r="V18" s="53"/>
      <c r="W18" s="1"/>
      <c r="X18" s="1"/>
      <c r="Y18" s="54"/>
      <c r="AE18" s="157">
        <v>1</v>
      </c>
      <c r="AF18" s="158"/>
      <c r="AG18" s="158"/>
      <c r="AH18" s="159"/>
      <c r="AI18" s="157">
        <v>3</v>
      </c>
      <c r="AJ18" s="158"/>
      <c r="AK18" s="158"/>
      <c r="AL18" s="159"/>
      <c r="AN18" s="157">
        <v>4</v>
      </c>
      <c r="AO18" s="159"/>
      <c r="AP18" s="157">
        <v>5</v>
      </c>
      <c r="AQ18" s="159"/>
      <c r="AR18" s="157">
        <v>12</v>
      </c>
      <c r="AS18" s="159"/>
      <c r="AT18" s="157">
        <v>13</v>
      </c>
      <c r="AU18" s="159"/>
      <c r="AY18" s="157">
        <v>2</v>
      </c>
      <c r="AZ18" s="159"/>
      <c r="BA18" s="157">
        <v>3</v>
      </c>
      <c r="BB18" s="159"/>
    </row>
    <row r="19" spans="1:54" ht="15" thickBot="1" x14ac:dyDescent="0.25">
      <c r="C19" s="53"/>
      <c r="D19" s="1"/>
      <c r="E19" s="1"/>
      <c r="F19" s="54"/>
      <c r="Q19" s="53"/>
      <c r="R19" s="1"/>
      <c r="S19" s="1"/>
      <c r="T19" s="54"/>
      <c r="V19" s="53"/>
      <c r="W19" s="1"/>
      <c r="X19" s="1"/>
      <c r="Y19" s="54"/>
      <c r="AE19" s="160"/>
      <c r="AF19" s="161"/>
      <c r="AG19" s="161"/>
      <c r="AH19" s="162"/>
      <c r="AI19" s="160"/>
      <c r="AJ19" s="161"/>
      <c r="AK19" s="161"/>
      <c r="AL19" s="162"/>
      <c r="AN19" s="163"/>
      <c r="AO19" s="165"/>
      <c r="AP19" s="163"/>
      <c r="AQ19" s="165"/>
      <c r="AR19" s="163"/>
      <c r="AS19" s="165"/>
      <c r="AT19" s="163"/>
      <c r="AU19" s="165"/>
      <c r="AY19" s="160"/>
      <c r="AZ19" s="162"/>
      <c r="BA19" s="160"/>
      <c r="BB19" s="162"/>
    </row>
    <row r="20" spans="1:54" ht="15" thickBot="1" x14ac:dyDescent="0.25">
      <c r="C20" s="166">
        <v>15</v>
      </c>
      <c r="D20" s="167"/>
      <c r="E20" s="167"/>
      <c r="F20" s="168"/>
      <c r="Q20" s="166">
        <v>15</v>
      </c>
      <c r="R20" s="167"/>
      <c r="S20" s="167"/>
      <c r="T20" s="168"/>
      <c r="V20" s="166">
        <v>15</v>
      </c>
      <c r="W20" s="167"/>
      <c r="X20" s="167"/>
      <c r="Y20" s="168"/>
      <c r="AE20" s="160"/>
      <c r="AF20" s="161"/>
      <c r="AG20" s="161"/>
      <c r="AH20" s="162"/>
      <c r="AI20" s="160"/>
      <c r="AJ20" s="161"/>
      <c r="AK20" s="161"/>
      <c r="AL20" s="162"/>
      <c r="AN20" s="157">
        <v>6</v>
      </c>
      <c r="AO20" s="159"/>
      <c r="AP20" s="157">
        <v>7</v>
      </c>
      <c r="AQ20" s="159"/>
      <c r="AR20" s="157">
        <v>14</v>
      </c>
      <c r="AS20" s="159"/>
      <c r="AT20" s="157">
        <v>15</v>
      </c>
      <c r="AU20" s="159"/>
      <c r="AY20" s="160"/>
      <c r="AZ20" s="162"/>
      <c r="BA20" s="160"/>
      <c r="BB20" s="162"/>
    </row>
    <row r="21" spans="1:54" x14ac:dyDescent="0.2">
      <c r="AE21" s="160"/>
      <c r="AF21" s="161"/>
      <c r="AG21" s="161"/>
      <c r="AH21" s="162"/>
      <c r="AI21" s="160"/>
      <c r="AJ21" s="161"/>
      <c r="AK21" s="161"/>
      <c r="AL21" s="162"/>
      <c r="AN21" s="160"/>
      <c r="AO21" s="162"/>
      <c r="AP21" s="160"/>
      <c r="AQ21" s="162"/>
      <c r="AR21" s="160"/>
      <c r="AS21" s="162"/>
      <c r="AT21" s="160"/>
      <c r="AU21" s="162"/>
      <c r="AY21" s="160"/>
      <c r="AZ21" s="162"/>
      <c r="BA21" s="160"/>
      <c r="BB21" s="162"/>
    </row>
    <row r="22" spans="1:54" ht="15" thickBot="1" x14ac:dyDescent="0.25">
      <c r="A22" t="s">
        <v>258</v>
      </c>
      <c r="O22" t="s">
        <v>263</v>
      </c>
      <c r="AE22" s="163"/>
      <c r="AF22" s="164"/>
      <c r="AG22" s="164"/>
      <c r="AH22" s="165"/>
      <c r="AI22" s="163"/>
      <c r="AJ22" s="164"/>
      <c r="AK22" s="164"/>
      <c r="AL22" s="165"/>
      <c r="AN22" s="163"/>
      <c r="AO22" s="165"/>
      <c r="AP22" s="163"/>
      <c r="AQ22" s="165"/>
      <c r="AR22" s="163"/>
      <c r="AS22" s="165"/>
      <c r="AT22" s="163"/>
      <c r="AU22" s="165"/>
      <c r="AY22" s="163"/>
      <c r="AZ22" s="165"/>
      <c r="BA22" s="163"/>
      <c r="BB22" s="165"/>
    </row>
    <row r="23" spans="1:54" ht="15" thickBot="1" x14ac:dyDescent="0.25">
      <c r="A23" t="s">
        <v>280</v>
      </c>
      <c r="C23" t="s">
        <v>480</v>
      </c>
      <c r="O23" t="s">
        <v>275</v>
      </c>
      <c r="Q23" t="s">
        <v>480</v>
      </c>
    </row>
    <row r="24" spans="1:54" ht="15" thickBot="1" x14ac:dyDescent="0.25">
      <c r="C24" s="166" t="s">
        <v>281</v>
      </c>
      <c r="D24" s="167"/>
      <c r="E24" s="167"/>
      <c r="F24" s="168"/>
      <c r="G24" s="166" t="s">
        <v>282</v>
      </c>
      <c r="H24" s="167"/>
      <c r="I24" s="167"/>
      <c r="J24" s="168"/>
      <c r="Q24" s="166" t="s">
        <v>285</v>
      </c>
      <c r="R24" s="167"/>
      <c r="S24" s="167"/>
      <c r="T24" s="168"/>
      <c r="U24" s="166" t="s">
        <v>286</v>
      </c>
      <c r="V24" s="167"/>
      <c r="W24" s="167"/>
      <c r="X24" s="168"/>
    </row>
    <row r="25" spans="1:54" ht="15" thickBot="1" x14ac:dyDescent="0.25">
      <c r="C25" s="166">
        <v>1</v>
      </c>
      <c r="D25" s="167"/>
      <c r="E25" s="167"/>
      <c r="F25" s="168"/>
      <c r="G25" s="53"/>
      <c r="H25" s="1"/>
      <c r="I25" s="1"/>
      <c r="J25" s="54"/>
      <c r="Q25" s="166">
        <v>1</v>
      </c>
      <c r="R25" s="167"/>
      <c r="S25" s="167"/>
      <c r="T25" s="168"/>
      <c r="U25" s="53"/>
      <c r="V25" s="1"/>
      <c r="W25" s="1"/>
      <c r="X25" s="54"/>
    </row>
    <row r="26" spans="1:54" ht="15" thickBot="1" x14ac:dyDescent="0.25">
      <c r="C26" s="166">
        <v>2</v>
      </c>
      <c r="D26" s="167"/>
      <c r="E26" s="167"/>
      <c r="F26" s="168"/>
      <c r="G26" s="53"/>
      <c r="H26" s="1"/>
      <c r="I26" s="1"/>
      <c r="J26" s="54"/>
      <c r="Q26" s="166">
        <v>2</v>
      </c>
      <c r="R26" s="167"/>
      <c r="S26" s="167"/>
      <c r="T26" s="168"/>
      <c r="U26" s="53"/>
      <c r="V26" s="1"/>
      <c r="W26" s="1"/>
      <c r="X26" s="54"/>
    </row>
    <row r="27" spans="1:54" ht="15" thickBot="1" x14ac:dyDescent="0.25">
      <c r="C27" s="166">
        <v>3</v>
      </c>
      <c r="D27" s="167"/>
      <c r="E27" s="167"/>
      <c r="F27" s="168"/>
      <c r="G27" s="53"/>
      <c r="H27" s="1"/>
      <c r="I27" s="1"/>
      <c r="J27" s="54"/>
      <c r="Q27" s="166">
        <v>3</v>
      </c>
      <c r="R27" s="167"/>
      <c r="S27" s="167"/>
      <c r="T27" s="168"/>
      <c r="U27" s="53"/>
      <c r="V27" s="1"/>
      <c r="W27" s="1"/>
      <c r="X27" s="54"/>
    </row>
    <row r="28" spans="1:54" x14ac:dyDescent="0.2">
      <c r="C28" s="53"/>
      <c r="D28" s="1"/>
      <c r="E28" s="1"/>
      <c r="F28" s="54"/>
      <c r="G28" s="53"/>
      <c r="H28" s="1"/>
      <c r="I28" s="1"/>
      <c r="J28" s="54"/>
      <c r="Q28" s="53"/>
      <c r="R28" s="1"/>
      <c r="S28" s="1"/>
      <c r="T28" s="54"/>
      <c r="U28" s="53"/>
      <c r="V28" s="1"/>
      <c r="W28" s="1"/>
      <c r="X28" s="54"/>
    </row>
    <row r="29" spans="1:54" x14ac:dyDescent="0.2">
      <c r="C29" s="53"/>
      <c r="D29" s="1"/>
      <c r="E29" s="1"/>
      <c r="F29" s="54"/>
      <c r="G29" s="53"/>
      <c r="H29" s="1"/>
      <c r="I29" s="1"/>
      <c r="J29" s="54"/>
      <c r="Q29" s="53"/>
      <c r="R29" s="1"/>
      <c r="S29" s="1"/>
      <c r="T29" s="54"/>
      <c r="U29" s="53"/>
      <c r="V29" s="1"/>
      <c r="W29" s="1"/>
      <c r="X29" s="54"/>
    </row>
    <row r="30" spans="1:54" ht="15" thickBot="1" x14ac:dyDescent="0.25">
      <c r="C30" s="53"/>
      <c r="D30" s="1"/>
      <c r="E30" s="1"/>
      <c r="F30" s="54"/>
      <c r="G30" s="53"/>
      <c r="H30" s="1"/>
      <c r="I30" s="1"/>
      <c r="J30" s="54"/>
      <c r="Q30" s="53"/>
      <c r="R30" s="1"/>
      <c r="S30" s="1"/>
      <c r="T30" s="54"/>
      <c r="U30" s="53"/>
      <c r="V30" s="1"/>
      <c r="W30" s="1"/>
      <c r="X30" s="54"/>
    </row>
    <row r="31" spans="1:54" ht="15" thickBot="1" x14ac:dyDescent="0.25">
      <c r="C31" s="166">
        <v>31</v>
      </c>
      <c r="D31" s="167"/>
      <c r="E31" s="167"/>
      <c r="F31" s="168"/>
      <c r="G31" s="163">
        <v>63</v>
      </c>
      <c r="H31" s="164"/>
      <c r="I31" s="164"/>
      <c r="J31" s="165"/>
      <c r="Q31" s="166">
        <v>15</v>
      </c>
      <c r="R31" s="167"/>
      <c r="S31" s="167"/>
      <c r="T31" s="168"/>
      <c r="U31" s="163">
        <v>31</v>
      </c>
      <c r="V31" s="164"/>
      <c r="W31" s="164"/>
      <c r="X31" s="165"/>
    </row>
    <row r="33" spans="1:22" ht="15" thickBot="1" x14ac:dyDescent="0.25">
      <c r="C33" s="58" t="s">
        <v>293</v>
      </c>
      <c r="Q33" s="58" t="s">
        <v>293</v>
      </c>
    </row>
    <row r="34" spans="1:22" ht="15" thickBot="1" x14ac:dyDescent="0.25">
      <c r="C34" s="166" t="s">
        <v>281</v>
      </c>
      <c r="D34" s="167"/>
      <c r="E34" s="167"/>
      <c r="F34" s="168"/>
      <c r="G34" s="166" t="s">
        <v>298</v>
      </c>
      <c r="H34" s="167"/>
      <c r="I34" s="167"/>
      <c r="J34" s="168"/>
      <c r="Q34" s="166" t="s">
        <v>281</v>
      </c>
      <c r="R34" s="167"/>
      <c r="S34" s="167"/>
      <c r="T34" s="168"/>
    </row>
    <row r="35" spans="1:22" ht="15" thickBot="1" x14ac:dyDescent="0.25">
      <c r="C35" s="166">
        <v>2</v>
      </c>
      <c r="D35" s="167"/>
      <c r="E35" s="167"/>
      <c r="F35" s="168"/>
      <c r="G35" s="166">
        <v>3</v>
      </c>
      <c r="H35" s="167"/>
      <c r="I35" s="167"/>
      <c r="J35" s="168"/>
      <c r="Q35" s="157">
        <v>1</v>
      </c>
      <c r="R35" s="158"/>
      <c r="S35" s="158"/>
      <c r="T35" s="159"/>
    </row>
    <row r="36" spans="1:22" ht="15" thickBot="1" x14ac:dyDescent="0.25">
      <c r="C36" s="166"/>
      <c r="D36" s="167"/>
      <c r="E36" s="167"/>
      <c r="F36" s="168"/>
      <c r="G36" s="53"/>
      <c r="H36" s="1"/>
      <c r="I36" s="1"/>
      <c r="J36" s="54"/>
      <c r="Q36" s="53"/>
      <c r="R36" s="1"/>
      <c r="S36" s="1"/>
      <c r="T36" s="54"/>
    </row>
    <row r="37" spans="1:22" ht="15" thickBot="1" x14ac:dyDescent="0.25">
      <c r="C37" s="166"/>
      <c r="D37" s="167"/>
      <c r="E37" s="167"/>
      <c r="F37" s="168"/>
      <c r="G37" s="53"/>
      <c r="H37" s="1"/>
      <c r="I37" s="1"/>
      <c r="J37" s="54"/>
      <c r="Q37" s="53"/>
      <c r="R37" s="1"/>
      <c r="S37" s="1"/>
      <c r="T37" s="54"/>
    </row>
    <row r="38" spans="1:22" x14ac:dyDescent="0.2">
      <c r="C38" s="53"/>
      <c r="D38" s="1"/>
      <c r="E38" s="1"/>
      <c r="F38" s="54"/>
      <c r="G38" s="53"/>
      <c r="H38" s="1"/>
      <c r="I38" s="1"/>
      <c r="J38" s="54"/>
      <c r="Q38" s="53"/>
      <c r="R38" s="1"/>
      <c r="S38" s="1"/>
      <c r="T38" s="54"/>
    </row>
    <row r="39" spans="1:22" x14ac:dyDescent="0.2">
      <c r="C39" s="53"/>
      <c r="D39" s="1"/>
      <c r="E39" s="1"/>
      <c r="F39" s="54"/>
      <c r="G39" s="53"/>
      <c r="H39" s="1"/>
      <c r="I39" s="1"/>
      <c r="J39" s="54"/>
      <c r="Q39" s="53"/>
      <c r="R39" s="1"/>
      <c r="S39" s="1"/>
      <c r="T39" s="54"/>
    </row>
    <row r="40" spans="1:22" ht="15" thickBot="1" x14ac:dyDescent="0.25">
      <c r="C40" s="53"/>
      <c r="D40" s="1"/>
      <c r="E40" s="1"/>
      <c r="F40" s="54"/>
      <c r="G40" s="53"/>
      <c r="H40" s="1"/>
      <c r="I40" s="1"/>
      <c r="J40" s="54"/>
      <c r="Q40" s="53"/>
      <c r="R40" s="1"/>
      <c r="S40" s="1"/>
      <c r="T40" s="54"/>
    </row>
    <row r="41" spans="1:22" ht="15" thickBot="1" x14ac:dyDescent="0.25">
      <c r="C41" s="166">
        <v>62</v>
      </c>
      <c r="D41" s="167"/>
      <c r="E41" s="167"/>
      <c r="F41" s="168"/>
      <c r="G41" s="163">
        <v>63</v>
      </c>
      <c r="H41" s="164"/>
      <c r="I41" s="164"/>
      <c r="J41" s="165"/>
      <c r="Q41" s="166">
        <v>15</v>
      </c>
      <c r="R41" s="167"/>
      <c r="S41" s="167"/>
      <c r="T41" s="168"/>
    </row>
    <row r="42" spans="1:22" x14ac:dyDescent="0.2">
      <c r="C42" s="83"/>
      <c r="D42" s="83"/>
      <c r="E42" s="83"/>
      <c r="F42" s="83"/>
      <c r="G42" s="83"/>
      <c r="H42" s="83"/>
      <c r="I42" s="83"/>
      <c r="J42" s="83"/>
      <c r="Q42" s="83"/>
      <c r="R42" s="83"/>
      <c r="S42" s="83"/>
      <c r="T42" s="83"/>
    </row>
    <row r="46" spans="1:22" x14ac:dyDescent="0.2">
      <c r="A46" t="s">
        <v>258</v>
      </c>
      <c r="O46" t="s">
        <v>263</v>
      </c>
    </row>
    <row r="47" spans="1:22" ht="15" thickBot="1" x14ac:dyDescent="0.25">
      <c r="A47" t="s">
        <v>294</v>
      </c>
      <c r="C47" t="s">
        <v>295</v>
      </c>
      <c r="O47" t="s">
        <v>296</v>
      </c>
      <c r="Q47" t="s">
        <v>297</v>
      </c>
    </row>
    <row r="48" spans="1:22" x14ac:dyDescent="0.2">
      <c r="C48" s="80"/>
      <c r="D48" s="86"/>
      <c r="E48" s="86"/>
      <c r="F48" s="81"/>
      <c r="G48" s="80"/>
      <c r="H48" s="86"/>
      <c r="I48" s="86"/>
      <c r="J48" s="81"/>
      <c r="O48" s="80"/>
      <c r="P48" s="86"/>
      <c r="Q48" s="86"/>
      <c r="R48" s="81"/>
      <c r="S48" s="80"/>
      <c r="T48" s="86"/>
      <c r="U48" s="86"/>
      <c r="V48" s="81"/>
    </row>
    <row r="49" spans="3:22" x14ac:dyDescent="0.2">
      <c r="C49" s="53"/>
      <c r="D49" s="1"/>
      <c r="E49" s="1"/>
      <c r="F49" s="54"/>
      <c r="G49" s="53"/>
      <c r="H49" s="1"/>
      <c r="I49" s="1"/>
      <c r="J49" s="54"/>
      <c r="O49" s="53"/>
      <c r="P49" s="1"/>
      <c r="Q49" s="1"/>
      <c r="R49" s="54"/>
      <c r="S49" s="53"/>
      <c r="T49" s="1"/>
      <c r="U49" s="1"/>
      <c r="V49" s="54"/>
    </row>
    <row r="50" spans="3:22" x14ac:dyDescent="0.2">
      <c r="C50" s="53"/>
      <c r="D50" s="1"/>
      <c r="E50" s="1"/>
      <c r="F50" s="54"/>
      <c r="G50" s="53"/>
      <c r="H50" s="1"/>
      <c r="I50" s="1"/>
      <c r="J50" s="54"/>
      <c r="O50" s="53"/>
      <c r="P50" s="1"/>
      <c r="Q50" s="1"/>
      <c r="R50" s="54"/>
      <c r="S50" s="53"/>
      <c r="T50" s="1"/>
      <c r="U50" s="1"/>
      <c r="V50" s="54"/>
    </row>
    <row r="51" spans="3:22" x14ac:dyDescent="0.2">
      <c r="C51" s="53"/>
      <c r="D51" s="1">
        <v>0</v>
      </c>
      <c r="E51" s="1"/>
      <c r="F51" s="54"/>
      <c r="G51" s="53"/>
      <c r="H51" s="1">
        <v>1</v>
      </c>
      <c r="I51" s="1"/>
      <c r="J51" s="54"/>
      <c r="O51" s="53"/>
      <c r="P51" s="1">
        <v>0</v>
      </c>
      <c r="Q51" s="1"/>
      <c r="R51" s="54"/>
      <c r="S51" s="53"/>
      <c r="T51" s="1">
        <v>1</v>
      </c>
      <c r="U51" s="1"/>
      <c r="V51" s="54"/>
    </row>
    <row r="52" spans="3:22" x14ac:dyDescent="0.2">
      <c r="C52" s="53"/>
      <c r="D52" s="1"/>
      <c r="E52" s="1"/>
      <c r="F52" s="54"/>
      <c r="G52" s="53"/>
      <c r="H52" s="1"/>
      <c r="I52" s="1"/>
      <c r="J52" s="54"/>
      <c r="O52" s="53"/>
      <c r="P52" s="1"/>
      <c r="Q52" s="1"/>
      <c r="R52" s="54"/>
      <c r="S52" s="53"/>
      <c r="T52" s="1"/>
      <c r="U52" s="1"/>
      <c r="V52" s="54"/>
    </row>
    <row r="53" spans="3:22" x14ac:dyDescent="0.2">
      <c r="C53" s="53"/>
      <c r="D53" s="1"/>
      <c r="E53" s="1"/>
      <c r="F53" s="54"/>
      <c r="G53" s="53"/>
      <c r="H53" s="1"/>
      <c r="I53" s="1"/>
      <c r="J53" s="54"/>
      <c r="O53" s="53"/>
      <c r="P53" s="1"/>
      <c r="Q53" s="1"/>
      <c r="R53" s="54"/>
      <c r="S53" s="53"/>
      <c r="T53" s="1"/>
      <c r="U53" s="1"/>
      <c r="V53" s="54"/>
    </row>
    <row r="54" spans="3:22" ht="15" thickBot="1" x14ac:dyDescent="0.25">
      <c r="C54" s="55"/>
      <c r="D54" s="56"/>
      <c r="E54" s="56"/>
      <c r="F54" s="57"/>
      <c r="G54" s="55"/>
      <c r="H54" s="56"/>
      <c r="I54" s="56"/>
      <c r="J54" s="57"/>
      <c r="O54" s="55"/>
      <c r="P54" s="56"/>
      <c r="Q54" s="56"/>
      <c r="R54" s="57"/>
      <c r="S54" s="55"/>
      <c r="T54" s="56"/>
      <c r="U54" s="56"/>
      <c r="V54" s="57"/>
    </row>
    <row r="55" spans="3:22" x14ac:dyDescent="0.2">
      <c r="C55" s="80"/>
      <c r="D55" s="86"/>
      <c r="E55" s="86"/>
      <c r="F55" s="81"/>
      <c r="G55" s="80"/>
      <c r="H55" s="86"/>
      <c r="I55" s="86"/>
      <c r="J55" s="81"/>
      <c r="O55" s="80"/>
      <c r="P55" s="86"/>
      <c r="Q55" s="86"/>
      <c r="R55" s="81"/>
      <c r="S55" s="80"/>
      <c r="T55" s="86"/>
      <c r="U55" s="86"/>
      <c r="V55" s="81"/>
    </row>
    <row r="56" spans="3:22" x14ac:dyDescent="0.2">
      <c r="C56" s="53"/>
      <c r="D56" s="1"/>
      <c r="E56" s="1"/>
      <c r="F56" s="54"/>
      <c r="G56" s="53"/>
      <c r="H56" s="1"/>
      <c r="I56" s="1"/>
      <c r="J56" s="54"/>
      <c r="O56" s="53"/>
      <c r="P56" s="1"/>
      <c r="Q56" s="1"/>
      <c r="R56" s="54"/>
      <c r="S56" s="53"/>
      <c r="T56" s="1"/>
      <c r="U56" s="1"/>
      <c r="V56" s="54"/>
    </row>
    <row r="57" spans="3:22" x14ac:dyDescent="0.2">
      <c r="C57" s="53"/>
      <c r="D57" s="1"/>
      <c r="E57" s="1"/>
      <c r="F57" s="54"/>
      <c r="G57" s="53"/>
      <c r="H57" s="1"/>
      <c r="I57" s="1"/>
      <c r="J57" s="54"/>
      <c r="O57" s="53"/>
      <c r="P57" s="1"/>
      <c r="Q57" s="1"/>
      <c r="R57" s="54"/>
      <c r="S57" s="53"/>
      <c r="T57" s="1"/>
      <c r="U57" s="1"/>
      <c r="V57" s="54"/>
    </row>
    <row r="58" spans="3:22" x14ac:dyDescent="0.2">
      <c r="C58" s="53"/>
      <c r="D58" s="1">
        <v>2</v>
      </c>
      <c r="E58" s="1"/>
      <c r="F58" s="54"/>
      <c r="G58" s="53"/>
      <c r="H58" s="1">
        <v>3</v>
      </c>
      <c r="I58" s="1"/>
      <c r="J58" s="54"/>
      <c r="O58" s="53"/>
      <c r="P58" s="1">
        <v>2</v>
      </c>
      <c r="Q58" s="1"/>
      <c r="R58" s="54"/>
      <c r="S58" s="53"/>
      <c r="T58" s="1">
        <v>3</v>
      </c>
      <c r="U58" s="1"/>
      <c r="V58" s="54"/>
    </row>
    <row r="59" spans="3:22" x14ac:dyDescent="0.2">
      <c r="C59" s="53"/>
      <c r="D59" s="1"/>
      <c r="E59" s="1"/>
      <c r="F59" s="54"/>
      <c r="G59" s="53"/>
      <c r="H59" s="1"/>
      <c r="I59" s="1"/>
      <c r="J59" s="54"/>
      <c r="O59" s="53"/>
      <c r="P59" s="1"/>
      <c r="Q59" s="1"/>
      <c r="R59" s="54"/>
      <c r="S59" s="53"/>
      <c r="T59" s="1"/>
      <c r="U59" s="1"/>
      <c r="V59" s="54"/>
    </row>
    <row r="60" spans="3:22" x14ac:dyDescent="0.2">
      <c r="C60" s="53"/>
      <c r="D60" s="1"/>
      <c r="E60" s="1"/>
      <c r="F60" s="54"/>
      <c r="G60" s="53"/>
      <c r="H60" s="1"/>
      <c r="I60" s="1"/>
      <c r="J60" s="54"/>
      <c r="O60" s="53"/>
      <c r="P60" s="1"/>
      <c r="Q60" s="1"/>
      <c r="R60" s="54"/>
      <c r="S60" s="53"/>
      <c r="T60" s="1"/>
      <c r="U60" s="1"/>
      <c r="V60" s="54"/>
    </row>
    <row r="61" spans="3:22" ht="15" thickBot="1" x14ac:dyDescent="0.25">
      <c r="C61" s="55"/>
      <c r="D61" s="56"/>
      <c r="E61" s="56"/>
      <c r="F61" s="57"/>
      <c r="G61" s="55"/>
      <c r="H61" s="56"/>
      <c r="I61" s="56"/>
      <c r="J61" s="57"/>
      <c r="O61" s="55"/>
      <c r="P61" s="56"/>
      <c r="Q61" s="56"/>
      <c r="R61" s="57"/>
      <c r="S61" s="55"/>
      <c r="T61" s="56"/>
      <c r="U61" s="56"/>
      <c r="V61" s="57"/>
    </row>
  </sheetData>
  <mergeCells count="78">
    <mergeCell ref="C35:F35"/>
    <mergeCell ref="G34:J34"/>
    <mergeCell ref="C34:F34"/>
    <mergeCell ref="C41:F41"/>
    <mergeCell ref="G41:J41"/>
    <mergeCell ref="C37:F37"/>
    <mergeCell ref="C36:F36"/>
    <mergeCell ref="AY14:AZ17"/>
    <mergeCell ref="BA14:BB17"/>
    <mergeCell ref="AY18:AZ22"/>
    <mergeCell ref="BA18:BB22"/>
    <mergeCell ref="G35:J35"/>
    <mergeCell ref="Q34:T34"/>
    <mergeCell ref="Q35:T35"/>
    <mergeCell ref="AT14:AU15"/>
    <mergeCell ref="AR16:AS17"/>
    <mergeCell ref="AT16:AU17"/>
    <mergeCell ref="AR18:AS19"/>
    <mergeCell ref="AT18:AU19"/>
    <mergeCell ref="AT20:AU22"/>
    <mergeCell ref="AR20:AS22"/>
    <mergeCell ref="AR14:AS15"/>
    <mergeCell ref="AP14:AQ15"/>
    <mergeCell ref="AE13:AH13"/>
    <mergeCell ref="Q16:T16"/>
    <mergeCell ref="Q41:T41"/>
    <mergeCell ref="AN13:AQ13"/>
    <mergeCell ref="AN16:AO17"/>
    <mergeCell ref="AN18:AO19"/>
    <mergeCell ref="AP18:AQ19"/>
    <mergeCell ref="AN20:AO22"/>
    <mergeCell ref="AP20:AQ22"/>
    <mergeCell ref="AN14:AO15"/>
    <mergeCell ref="U31:X31"/>
    <mergeCell ref="Q24:T24"/>
    <mergeCell ref="U24:X24"/>
    <mergeCell ref="Q25:T25"/>
    <mergeCell ref="Q13:T13"/>
    <mergeCell ref="Q14:T14"/>
    <mergeCell ref="A1:Z1"/>
    <mergeCell ref="AC1:AV1"/>
    <mergeCell ref="AE4:AF7"/>
    <mergeCell ref="AG4:AH7"/>
    <mergeCell ref="AE8:AF11"/>
    <mergeCell ref="AG8:AH11"/>
    <mergeCell ref="AN4:AO7"/>
    <mergeCell ref="Q15:T15"/>
    <mergeCell ref="AP16:AQ17"/>
    <mergeCell ref="Q20:T20"/>
    <mergeCell ref="V13:Y13"/>
    <mergeCell ref="C31:F31"/>
    <mergeCell ref="G31:J31"/>
    <mergeCell ref="Q26:T26"/>
    <mergeCell ref="Q27:T27"/>
    <mergeCell ref="Q31:T31"/>
    <mergeCell ref="C27:F27"/>
    <mergeCell ref="C24:F24"/>
    <mergeCell ref="G24:J24"/>
    <mergeCell ref="C14:F14"/>
    <mergeCell ref="C25:F25"/>
    <mergeCell ref="C26:F26"/>
    <mergeCell ref="C20:F20"/>
    <mergeCell ref="AE14:AH17"/>
    <mergeCell ref="AI14:AL17"/>
    <mergeCell ref="AE18:AH22"/>
    <mergeCell ref="AI18:AL22"/>
    <mergeCell ref="C3:F4"/>
    <mergeCell ref="C13:F13"/>
    <mergeCell ref="H3:I6"/>
    <mergeCell ref="H7:I10"/>
    <mergeCell ref="J3:K6"/>
    <mergeCell ref="C5:F6"/>
    <mergeCell ref="C7:F8"/>
    <mergeCell ref="J7:K10"/>
    <mergeCell ref="V14:Y14"/>
    <mergeCell ref="V15:Y15"/>
    <mergeCell ref="V16:Y16"/>
    <mergeCell ref="V20:Y20"/>
  </mergeCells>
  <phoneticPr fontId="1" type="noConversion"/>
  <pageMargins left="0.7" right="0.7" top="0.75" bottom="0.75" header="0.3" footer="0.3"/>
  <pageSetup paperSiz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FF07-9C06-44AB-97DD-D040F2BA4086}">
  <dimension ref="A1:P26"/>
  <sheetViews>
    <sheetView zoomScaleNormal="100" workbookViewId="0">
      <selection activeCell="E29" sqref="E29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200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212</v>
      </c>
      <c r="B5">
        <v>0</v>
      </c>
      <c r="C5">
        <f t="shared" ref="C5:F6" si="0">B5+I$11</f>
        <v>2</v>
      </c>
      <c r="D5">
        <f t="shared" si="0"/>
        <v>15</v>
      </c>
      <c r="E5">
        <f t="shared" si="0"/>
        <v>23</v>
      </c>
      <c r="F5">
        <f t="shared" si="0"/>
        <v>27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213</v>
      </c>
      <c r="B6">
        <f>D5-2</f>
        <v>13</v>
      </c>
      <c r="C6">
        <f t="shared" si="0"/>
        <v>15</v>
      </c>
      <c r="D6">
        <f t="shared" si="0"/>
        <v>28</v>
      </c>
      <c r="E6">
        <f t="shared" si="0"/>
        <v>36</v>
      </c>
      <c r="F6">
        <f t="shared" si="0"/>
        <v>40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452</v>
      </c>
      <c r="C7">
        <f>F6</f>
        <v>40</v>
      </c>
      <c r="D7">
        <f>C7+N$5</f>
        <v>40</v>
      </c>
      <c r="E7">
        <f>D7+O$5</f>
        <v>52</v>
      </c>
      <c r="F7">
        <f t="shared" ref="F7" si="1">E7+P$5</f>
        <v>52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O7">
        <f>v0!Q81</f>
        <v>12</v>
      </c>
      <c r="P7">
        <f>v0!R81</f>
        <v>0</v>
      </c>
    </row>
    <row r="8" spans="1:16" x14ac:dyDescent="0.2">
      <c r="A8" t="s">
        <v>202</v>
      </c>
      <c r="C8">
        <f>F7</f>
        <v>52</v>
      </c>
      <c r="D8">
        <f>C8+I$3</f>
        <v>53</v>
      </c>
      <c r="E8">
        <f t="shared" ref="E8:F8" si="2">D8+J$3</f>
        <v>54</v>
      </c>
      <c r="F8">
        <f t="shared" si="2"/>
        <v>57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214</v>
      </c>
      <c r="B9">
        <f>F8</f>
        <v>57</v>
      </c>
      <c r="C9">
        <f>B9+I$11</f>
        <v>59</v>
      </c>
      <c r="D9">
        <f t="shared" ref="D9:F9" si="3">C9+J$11</f>
        <v>72</v>
      </c>
      <c r="E9">
        <f t="shared" si="3"/>
        <v>80</v>
      </c>
      <c r="F9">
        <f t="shared" si="3"/>
        <v>84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453</v>
      </c>
      <c r="C10">
        <f>F9</f>
        <v>84</v>
      </c>
      <c r="D10">
        <f>C10+N$5</f>
        <v>84</v>
      </c>
      <c r="E10">
        <f>D10+O$5</f>
        <v>96</v>
      </c>
      <c r="F10">
        <f t="shared" ref="F10" si="4">E10+P$5</f>
        <v>96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202</v>
      </c>
      <c r="C11">
        <f>F10</f>
        <v>96</v>
      </c>
      <c r="D11">
        <f>C11+I$3</f>
        <v>97</v>
      </c>
      <c r="E11">
        <f>D11+J$3</f>
        <v>98</v>
      </c>
      <c r="F11">
        <f>E11+K$3</f>
        <v>101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215</v>
      </c>
      <c r="B12">
        <f>F11</f>
        <v>101</v>
      </c>
      <c r="C12">
        <f>B12+I$11</f>
        <v>103</v>
      </c>
      <c r="D12">
        <f>C12+J$11</f>
        <v>116</v>
      </c>
      <c r="E12">
        <f>D12+K$11</f>
        <v>124</v>
      </c>
      <c r="F12">
        <f>E12+L$11</f>
        <v>128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453</v>
      </c>
      <c r="C13">
        <f>F12</f>
        <v>128</v>
      </c>
      <c r="D13">
        <f>C13+N$5</f>
        <v>128</v>
      </c>
      <c r="E13">
        <f>D13+O$5</f>
        <v>140</v>
      </c>
      <c r="F13">
        <f t="shared" ref="F13" si="5">E13+P$5</f>
        <v>140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202</v>
      </c>
      <c r="C14">
        <f>F13</f>
        <v>140</v>
      </c>
      <c r="D14">
        <f>C14+I$3</f>
        <v>141</v>
      </c>
      <c r="E14">
        <f>D14+J$3</f>
        <v>142</v>
      </c>
      <c r="F14">
        <f>E14+K$3</f>
        <v>145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216</v>
      </c>
      <c r="B15">
        <f>F14</f>
        <v>145</v>
      </c>
      <c r="C15">
        <f>B15+I$11</f>
        <v>147</v>
      </c>
      <c r="D15">
        <f>C15+J$11</f>
        <v>160</v>
      </c>
      <c r="E15">
        <f>D15+K$11</f>
        <v>168</v>
      </c>
      <c r="F15">
        <f>E15+L$11</f>
        <v>172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453</v>
      </c>
      <c r="C16">
        <f>F15</f>
        <v>172</v>
      </c>
      <c r="D16">
        <f>C16+N$5</f>
        <v>172</v>
      </c>
      <c r="E16">
        <f>D16+O$5</f>
        <v>184</v>
      </c>
      <c r="F16">
        <f t="shared" ref="F16" si="6">E16+P$5</f>
        <v>184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202</v>
      </c>
      <c r="C17">
        <f>F16</f>
        <v>184</v>
      </c>
      <c r="D17">
        <f>C17+I$3</f>
        <v>185</v>
      </c>
      <c r="E17">
        <f>D17+J$3</f>
        <v>186</v>
      </c>
      <c r="F17">
        <f>E17+K$3</f>
        <v>189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217</v>
      </c>
      <c r="B18" s="42">
        <f>B9-J$11</f>
        <v>44</v>
      </c>
      <c r="C18">
        <f t="shared" ref="C18:F20" si="7">B18+I$11</f>
        <v>46</v>
      </c>
      <c r="D18">
        <f t="shared" si="7"/>
        <v>59</v>
      </c>
      <c r="E18">
        <f t="shared" si="7"/>
        <v>67</v>
      </c>
      <c r="F18">
        <f t="shared" si="7"/>
        <v>71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218</v>
      </c>
      <c r="B19" s="42">
        <f>B12-J$11</f>
        <v>88</v>
      </c>
      <c r="C19">
        <f t="shared" si="7"/>
        <v>90</v>
      </c>
      <c r="D19">
        <f t="shared" si="7"/>
        <v>103</v>
      </c>
      <c r="E19">
        <f t="shared" si="7"/>
        <v>111</v>
      </c>
      <c r="F19">
        <f t="shared" si="7"/>
        <v>115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219</v>
      </c>
      <c r="B20" s="42">
        <f>B15-J$11</f>
        <v>132</v>
      </c>
      <c r="C20">
        <f t="shared" si="7"/>
        <v>134</v>
      </c>
      <c r="D20">
        <f t="shared" si="7"/>
        <v>147</v>
      </c>
      <c r="E20">
        <f t="shared" si="7"/>
        <v>155</v>
      </c>
      <c r="F20">
        <f t="shared" si="7"/>
        <v>159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I21">
        <f>v0!K101</f>
        <v>0</v>
      </c>
      <c r="J21">
        <f>v0!L101</f>
        <v>0</v>
      </c>
      <c r="K21">
        <f>v0!M101</f>
        <v>0</v>
      </c>
      <c r="L21">
        <f>v0!N101</f>
        <v>0</v>
      </c>
      <c r="M21">
        <f>v0!O101</f>
        <v>0</v>
      </c>
      <c r="N21">
        <f>v0!P101</f>
        <v>0</v>
      </c>
      <c r="O21">
        <f>v0!Q101</f>
        <v>0</v>
      </c>
      <c r="P21">
        <f>v0!R101</f>
        <v>0</v>
      </c>
    </row>
    <row r="22" spans="1:16" x14ac:dyDescent="0.2">
      <c r="I22">
        <f>v0!K102</f>
        <v>0</v>
      </c>
      <c r="J22">
        <f>v0!L102</f>
        <v>0</v>
      </c>
      <c r="K22">
        <f>v0!M102</f>
        <v>0</v>
      </c>
      <c r="L22">
        <f>v0!N102</f>
        <v>0</v>
      </c>
      <c r="M22">
        <f>v0!O102</f>
        <v>0</v>
      </c>
      <c r="N22">
        <f>v0!P102</f>
        <v>0</v>
      </c>
      <c r="O22">
        <f>v0!Q102</f>
        <v>0</v>
      </c>
      <c r="P22">
        <f>v0!R102</f>
        <v>0</v>
      </c>
    </row>
    <row r="23" spans="1:16" x14ac:dyDescent="0.2">
      <c r="I23">
        <f>v0!K103</f>
        <v>0</v>
      </c>
      <c r="J23">
        <f>v0!L103</f>
        <v>0</v>
      </c>
      <c r="K23">
        <f>v0!M103</f>
        <v>0</v>
      </c>
      <c r="L23">
        <f>v0!N103</f>
        <v>0</v>
      </c>
      <c r="M23">
        <f>v0!O103</f>
        <v>0</v>
      </c>
      <c r="N23">
        <f>v0!P103</f>
        <v>0</v>
      </c>
      <c r="O23">
        <f>v0!Q103</f>
        <v>0</v>
      </c>
      <c r="P23">
        <f>v0!R103</f>
        <v>0</v>
      </c>
    </row>
    <row r="24" spans="1:16" x14ac:dyDescent="0.2">
      <c r="I24">
        <f>v0!K104</f>
        <v>0</v>
      </c>
      <c r="J24">
        <f>v0!L104</f>
        <v>0</v>
      </c>
      <c r="K24">
        <f>v0!M104</f>
        <v>0</v>
      </c>
      <c r="L24">
        <f>v0!N104</f>
        <v>0</v>
      </c>
      <c r="M24">
        <f>v0!O104</f>
        <v>0</v>
      </c>
      <c r="N24">
        <f>v0!P104</f>
        <v>0</v>
      </c>
      <c r="O24">
        <f>v0!Q104</f>
        <v>0</v>
      </c>
      <c r="P24">
        <f>v0!R104</f>
        <v>0</v>
      </c>
    </row>
    <row r="25" spans="1:16" x14ac:dyDescent="0.2">
      <c r="I25">
        <f>v0!K105</f>
        <v>0</v>
      </c>
      <c r="J25">
        <f>v0!L105</f>
        <v>0</v>
      </c>
      <c r="K25">
        <f>v0!M105</f>
        <v>0</v>
      </c>
      <c r="L25">
        <f>v0!N105</f>
        <v>0</v>
      </c>
      <c r="M25">
        <f>v0!O105</f>
        <v>0</v>
      </c>
      <c r="N25">
        <f>v0!P105</f>
        <v>0</v>
      </c>
      <c r="O25">
        <f>v0!Q105</f>
        <v>0</v>
      </c>
      <c r="P25">
        <f>v0!R105</f>
        <v>0</v>
      </c>
    </row>
    <row r="26" spans="1:16" x14ac:dyDescent="0.2">
      <c r="I26">
        <f>v0!K106</f>
        <v>0</v>
      </c>
      <c r="J26">
        <f>v0!L106</f>
        <v>0</v>
      </c>
      <c r="K26">
        <f>v0!M106</f>
        <v>0</v>
      </c>
      <c r="L26">
        <f>v0!N106</f>
        <v>0</v>
      </c>
      <c r="M26">
        <f>v0!O106</f>
        <v>0</v>
      </c>
      <c r="N26">
        <f>v0!P106</f>
        <v>0</v>
      </c>
      <c r="O26">
        <f>v0!Q106</f>
        <v>0</v>
      </c>
      <c r="P26">
        <f>v0!R106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543F-8921-434D-8066-C23E3B225BD9}">
  <dimension ref="A1:P26"/>
  <sheetViews>
    <sheetView workbookViewId="0">
      <selection activeCell="B6" sqref="B6"/>
    </sheetView>
  </sheetViews>
  <sheetFormatPr defaultRowHeight="14.25" x14ac:dyDescent="0.2"/>
  <cols>
    <col min="1" max="1" width="21.5" customWidth="1"/>
    <col min="3" max="3" width="10.625" customWidth="1"/>
    <col min="5" max="5" width="11.25" customWidth="1"/>
    <col min="21" max="21" width="9.875" customWidth="1"/>
  </cols>
  <sheetData>
    <row r="1" spans="1:16" x14ac:dyDescent="0.2">
      <c r="A1" t="s">
        <v>0</v>
      </c>
      <c r="B1" t="s">
        <v>211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256</v>
      </c>
      <c r="B5">
        <v>14</v>
      </c>
      <c r="C5">
        <f>B5+I9</f>
        <v>16</v>
      </c>
      <c r="D5">
        <f t="shared" ref="D5" si="0">C5+J9</f>
        <v>60</v>
      </c>
      <c r="E5" s="44">
        <f>D5+K9+2</f>
        <v>40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257</v>
      </c>
      <c r="B6">
        <f>D5-2+6</f>
        <v>64</v>
      </c>
      <c r="C6">
        <f>B6+I9</f>
        <v>66</v>
      </c>
      <c r="D6">
        <f t="shared" ref="D6:E6" si="1">C6+J9</f>
        <v>110</v>
      </c>
      <c r="E6">
        <f t="shared" si="1"/>
        <v>88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207</v>
      </c>
      <c r="E7">
        <f>E5</f>
        <v>40</v>
      </c>
      <c r="F7">
        <f>E7+L$11</f>
        <v>44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f>v0!P81</f>
        <v>0</v>
      </c>
      <c r="O7">
        <f>v0!Q81</f>
        <v>12</v>
      </c>
      <c r="P7">
        <f>v0!R81</f>
        <v>0</v>
      </c>
    </row>
    <row r="8" spans="1:16" x14ac:dyDescent="0.2">
      <c r="A8" t="s">
        <v>208</v>
      </c>
      <c r="E8">
        <f>F7</f>
        <v>44</v>
      </c>
      <c r="F8">
        <f>E8+L$11</f>
        <v>48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209</v>
      </c>
      <c r="E9">
        <f t="shared" ref="E9:E10" si="2">F8</f>
        <v>48</v>
      </c>
      <c r="F9">
        <f t="shared" ref="F9" si="3">E9+L$11</f>
        <v>52</v>
      </c>
      <c r="I9">
        <f>v0!K83</f>
        <v>2</v>
      </c>
      <c r="J9">
        <f>v0!L83</f>
        <v>44</v>
      </c>
      <c r="K9">
        <f>v0!M83</f>
        <v>-22</v>
      </c>
      <c r="L9">
        <f>v0!N83</f>
        <v>32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210</v>
      </c>
      <c r="E10">
        <f t="shared" si="2"/>
        <v>52</v>
      </c>
      <c r="F10">
        <f>E10+L$11+4</f>
        <v>60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203</v>
      </c>
      <c r="B11" s="47"/>
      <c r="E11">
        <f>E6</f>
        <v>88</v>
      </c>
      <c r="F11">
        <f>E11+L$11</f>
        <v>92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204</v>
      </c>
      <c r="E12">
        <f>F11</f>
        <v>92</v>
      </c>
      <c r="F12">
        <f t="shared" ref="F12" si="4">E12+L$11</f>
        <v>96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205</v>
      </c>
      <c r="E13">
        <f t="shared" ref="E13:E14" si="5">F12</f>
        <v>96</v>
      </c>
      <c r="F13">
        <f t="shared" ref="F13" si="6">E13+L$11</f>
        <v>100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206</v>
      </c>
      <c r="E14">
        <f t="shared" si="5"/>
        <v>100</v>
      </c>
      <c r="F14">
        <f>E14+L$11+4</f>
        <v>108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220</v>
      </c>
      <c r="E15">
        <f>E7+1</f>
        <v>41</v>
      </c>
      <c r="F15">
        <f>F7+1</f>
        <v>45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221</v>
      </c>
      <c r="E16">
        <f t="shared" ref="E16:F22" si="7">E8+1</f>
        <v>45</v>
      </c>
      <c r="F16">
        <f t="shared" si="7"/>
        <v>49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222</v>
      </c>
      <c r="E17">
        <f t="shared" si="7"/>
        <v>49</v>
      </c>
      <c r="F17">
        <f t="shared" si="7"/>
        <v>53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223</v>
      </c>
      <c r="E18">
        <f t="shared" si="7"/>
        <v>53</v>
      </c>
      <c r="F18">
        <f t="shared" si="7"/>
        <v>61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224</v>
      </c>
      <c r="E19">
        <f t="shared" si="7"/>
        <v>89</v>
      </c>
      <c r="F19">
        <f t="shared" si="7"/>
        <v>93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225</v>
      </c>
      <c r="E20">
        <f t="shared" si="7"/>
        <v>93</v>
      </c>
      <c r="F20">
        <f t="shared" si="7"/>
        <v>97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A21" t="s">
        <v>226</v>
      </c>
      <c r="E21">
        <f t="shared" si="7"/>
        <v>97</v>
      </c>
      <c r="F21">
        <f t="shared" si="7"/>
        <v>101</v>
      </c>
      <c r="I21">
        <f>v0!K101</f>
        <v>0</v>
      </c>
      <c r="J21">
        <f>v0!L101</f>
        <v>0</v>
      </c>
      <c r="K21">
        <f>v0!M101</f>
        <v>0</v>
      </c>
      <c r="L21">
        <f>v0!N101</f>
        <v>0</v>
      </c>
      <c r="M21">
        <f>v0!O101</f>
        <v>0</v>
      </c>
      <c r="N21">
        <f>v0!P101</f>
        <v>0</v>
      </c>
      <c r="O21">
        <f>v0!Q101</f>
        <v>0</v>
      </c>
      <c r="P21">
        <f>v0!R101</f>
        <v>0</v>
      </c>
    </row>
    <row r="22" spans="1:16" x14ac:dyDescent="0.2">
      <c r="A22" t="s">
        <v>227</v>
      </c>
      <c r="E22">
        <f t="shared" si="7"/>
        <v>101</v>
      </c>
      <c r="F22">
        <f t="shared" si="7"/>
        <v>109</v>
      </c>
      <c r="I22">
        <f>v0!K102</f>
        <v>0</v>
      </c>
      <c r="J22">
        <f>v0!L102</f>
        <v>0</v>
      </c>
      <c r="K22">
        <f>v0!M102</f>
        <v>0</v>
      </c>
      <c r="L22">
        <f>v0!N102</f>
        <v>0</v>
      </c>
      <c r="M22">
        <f>v0!O102</f>
        <v>0</v>
      </c>
      <c r="N22">
        <f>v0!P102</f>
        <v>0</v>
      </c>
      <c r="O22">
        <f>v0!Q102</f>
        <v>0</v>
      </c>
      <c r="P22">
        <f>v0!R102</f>
        <v>0</v>
      </c>
    </row>
    <row r="23" spans="1:16" x14ac:dyDescent="0.2">
      <c r="I23">
        <f>v0!K103</f>
        <v>0</v>
      </c>
      <c r="J23">
        <f>v0!L103</f>
        <v>0</v>
      </c>
      <c r="K23">
        <f>v0!M103</f>
        <v>0</v>
      </c>
      <c r="L23">
        <f>v0!N103</f>
        <v>0</v>
      </c>
      <c r="M23">
        <f>v0!O103</f>
        <v>0</v>
      </c>
      <c r="N23">
        <f>v0!P103</f>
        <v>0</v>
      </c>
      <c r="O23">
        <f>v0!Q103</f>
        <v>0</v>
      </c>
      <c r="P23">
        <f>v0!R103</f>
        <v>0</v>
      </c>
    </row>
    <row r="24" spans="1:16" x14ac:dyDescent="0.2">
      <c r="I24">
        <f>v0!K104</f>
        <v>0</v>
      </c>
      <c r="J24">
        <f>v0!L104</f>
        <v>0</v>
      </c>
      <c r="K24">
        <f>v0!M104</f>
        <v>0</v>
      </c>
      <c r="L24">
        <f>v0!N104</f>
        <v>0</v>
      </c>
      <c r="M24">
        <f>v0!O104</f>
        <v>0</v>
      </c>
      <c r="N24">
        <f>v0!P104</f>
        <v>0</v>
      </c>
      <c r="O24">
        <f>v0!Q104</f>
        <v>0</v>
      </c>
      <c r="P24">
        <f>v0!R104</f>
        <v>0</v>
      </c>
    </row>
    <row r="25" spans="1:16" x14ac:dyDescent="0.2">
      <c r="I25">
        <f>v0!K105</f>
        <v>0</v>
      </c>
      <c r="J25">
        <f>v0!L105</f>
        <v>0</v>
      </c>
      <c r="K25">
        <f>v0!M105</f>
        <v>0</v>
      </c>
      <c r="L25">
        <f>v0!N105</f>
        <v>0</v>
      </c>
      <c r="M25">
        <f>v0!O105</f>
        <v>0</v>
      </c>
      <c r="N25">
        <f>v0!P105</f>
        <v>0</v>
      </c>
      <c r="O25">
        <f>v0!Q105</f>
        <v>0</v>
      </c>
      <c r="P25">
        <f>v0!R105</f>
        <v>0</v>
      </c>
    </row>
    <row r="26" spans="1:16" x14ac:dyDescent="0.2">
      <c r="I26">
        <f>v0!K106</f>
        <v>0</v>
      </c>
      <c r="J26">
        <f>v0!L106</f>
        <v>0</v>
      </c>
      <c r="K26">
        <f>v0!M106</f>
        <v>0</v>
      </c>
      <c r="L26">
        <f>v0!N106</f>
        <v>0</v>
      </c>
      <c r="M26">
        <f>v0!O106</f>
        <v>0</v>
      </c>
      <c r="N26">
        <f>v0!P106</f>
        <v>0</v>
      </c>
      <c r="O26">
        <f>v0!Q106</f>
        <v>0</v>
      </c>
      <c r="P26">
        <f>v0!R106</f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745C-91F1-4442-962E-DE64FDFDAC26}">
  <dimension ref="A1:P26"/>
  <sheetViews>
    <sheetView workbookViewId="0">
      <selection activeCell="C34" sqref="C34"/>
    </sheetView>
  </sheetViews>
  <sheetFormatPr defaultRowHeight="14.25" x14ac:dyDescent="0.2"/>
  <cols>
    <col min="1" max="1" width="21.5" customWidth="1"/>
    <col min="3" max="3" width="10.625" customWidth="1"/>
    <col min="9" max="9" width="10.375" customWidth="1"/>
    <col min="10" max="10" width="10.25" customWidth="1"/>
    <col min="11" max="11" width="9.875" customWidth="1"/>
    <col min="12" max="12" width="9.75" customWidth="1"/>
    <col min="21" max="21" width="9.875" customWidth="1"/>
  </cols>
  <sheetData>
    <row r="1" spans="1:16" x14ac:dyDescent="0.2">
      <c r="A1" t="s">
        <v>0</v>
      </c>
      <c r="B1" t="s">
        <v>228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230</v>
      </c>
      <c r="B5">
        <v>0</v>
      </c>
      <c r="C5">
        <f>B5+I$19</f>
        <v>2</v>
      </c>
      <c r="D5">
        <f t="shared" ref="D5:F5" si="0">C5+J$19</f>
        <v>8</v>
      </c>
      <c r="E5">
        <f t="shared" si="0"/>
        <v>16</v>
      </c>
      <c r="F5">
        <f t="shared" si="0"/>
        <v>18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231</v>
      </c>
      <c r="B6">
        <f>D5-2</f>
        <v>6</v>
      </c>
      <c r="C6">
        <f>B6+I$19</f>
        <v>8</v>
      </c>
      <c r="D6">
        <f t="shared" ref="D6" si="1">C6+J$19</f>
        <v>14</v>
      </c>
      <c r="E6">
        <f t="shared" ref="E6" si="2">D6+K$19</f>
        <v>22</v>
      </c>
      <c r="F6">
        <f t="shared" ref="F6" si="3">E6+L$19</f>
        <v>24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238</v>
      </c>
      <c r="C7">
        <f>F6</f>
        <v>24</v>
      </c>
      <c r="D7">
        <f>C7+N$14</f>
        <v>24</v>
      </c>
      <c r="E7">
        <f t="shared" ref="E7:F7" si="4">D7+O$14</f>
        <v>36</v>
      </c>
      <c r="F7">
        <f t="shared" si="4"/>
        <v>37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v>0</v>
      </c>
      <c r="O7">
        <f>v0!Q81</f>
        <v>12</v>
      </c>
      <c r="P7">
        <f>v0!R81</f>
        <v>0</v>
      </c>
    </row>
    <row r="8" spans="1:16" x14ac:dyDescent="0.2">
      <c r="A8" t="s">
        <v>232</v>
      </c>
      <c r="C8">
        <f>F7</f>
        <v>37</v>
      </c>
      <c r="D8">
        <f>C8+I$3</f>
        <v>38</v>
      </c>
      <c r="E8">
        <f t="shared" ref="E8:F8" si="5">D8+J$3</f>
        <v>39</v>
      </c>
      <c r="F8">
        <f t="shared" si="5"/>
        <v>42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147</v>
      </c>
      <c r="C9">
        <f>F8</f>
        <v>42</v>
      </c>
      <c r="D9">
        <f>C9+I$5</f>
        <v>42</v>
      </c>
      <c r="E9">
        <f t="shared" ref="E9:F9" si="6">D9+J$5</f>
        <v>42</v>
      </c>
      <c r="F9">
        <f t="shared" si="6"/>
        <v>42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234</v>
      </c>
      <c r="B10">
        <f>'264PMF Y c0 round0'!B9</f>
        <v>57</v>
      </c>
      <c r="C10">
        <f>B10+I$19</f>
        <v>59</v>
      </c>
      <c r="D10">
        <f>C10+J$19</f>
        <v>65</v>
      </c>
      <c r="E10">
        <f>D10+K$19</f>
        <v>73</v>
      </c>
      <c r="F10">
        <f>E10+L$19</f>
        <v>75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235</v>
      </c>
      <c r="C11">
        <f>F10</f>
        <v>75</v>
      </c>
      <c r="D11">
        <f>C11+N$14</f>
        <v>75</v>
      </c>
      <c r="E11">
        <f t="shared" ref="E11" si="7">D11+O$14</f>
        <v>87</v>
      </c>
      <c r="F11">
        <f t="shared" ref="F11" si="8">E11+P$14</f>
        <v>88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232</v>
      </c>
      <c r="C12">
        <f>F11</f>
        <v>88</v>
      </c>
      <c r="D12">
        <f>C12+I$3</f>
        <v>89</v>
      </c>
      <c r="E12">
        <f t="shared" ref="E12" si="9">D12+J$3</f>
        <v>90</v>
      </c>
      <c r="F12">
        <f t="shared" ref="F12" si="10">E12+K$3</f>
        <v>93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147</v>
      </c>
      <c r="C13">
        <f>F12</f>
        <v>93</v>
      </c>
      <c r="D13">
        <f>C13+I$5</f>
        <v>93</v>
      </c>
      <c r="E13">
        <f>D13+J$5</f>
        <v>93</v>
      </c>
      <c r="F13">
        <f>E13+K$5</f>
        <v>93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236</v>
      </c>
      <c r="B14">
        <f>'264PMF Y c0 round0'!B12</f>
        <v>101</v>
      </c>
      <c r="C14">
        <f>B14+I$19</f>
        <v>103</v>
      </c>
      <c r="D14">
        <f>C14+J$19</f>
        <v>109</v>
      </c>
      <c r="E14">
        <f>D14+K$19</f>
        <v>117</v>
      </c>
      <c r="F14">
        <f>E14+L$19</f>
        <v>119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235</v>
      </c>
      <c r="C15">
        <f>F14</f>
        <v>119</v>
      </c>
      <c r="D15">
        <f>C15+N$14</f>
        <v>119</v>
      </c>
      <c r="E15">
        <f t="shared" ref="E15" si="11">D15+O$14</f>
        <v>131</v>
      </c>
      <c r="F15">
        <f t="shared" ref="F15" si="12">E15+P$14</f>
        <v>132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232</v>
      </c>
      <c r="C16">
        <f>F15</f>
        <v>132</v>
      </c>
      <c r="D16">
        <f>C16+I$3</f>
        <v>133</v>
      </c>
      <c r="E16">
        <f t="shared" ref="E16" si="13">D16+J$3</f>
        <v>134</v>
      </c>
      <c r="F16">
        <f t="shared" ref="F16" si="14">E16+K$3</f>
        <v>137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147</v>
      </c>
      <c r="C17">
        <f>F16</f>
        <v>137</v>
      </c>
      <c r="D17">
        <f>C17+I$5</f>
        <v>137</v>
      </c>
      <c r="E17">
        <f>D17+J$5</f>
        <v>137</v>
      </c>
      <c r="F17">
        <f>E17+K$5</f>
        <v>137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237</v>
      </c>
      <c r="B18">
        <f>'264PMF Y c0 round0'!B15</f>
        <v>145</v>
      </c>
      <c r="C18">
        <f>B18+I$19</f>
        <v>147</v>
      </c>
      <c r="D18">
        <f>C18+J$19</f>
        <v>153</v>
      </c>
      <c r="E18">
        <f>D18+K$19</f>
        <v>161</v>
      </c>
      <c r="F18">
        <f>E18+L$19</f>
        <v>163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235</v>
      </c>
      <c r="C19">
        <f>F18</f>
        <v>163</v>
      </c>
      <c r="D19">
        <f>C19+N$14</f>
        <v>163</v>
      </c>
      <c r="E19">
        <f t="shared" ref="E19" si="15">D19+O$14</f>
        <v>175</v>
      </c>
      <c r="F19">
        <f t="shared" ref="F19" si="16">E19+P$14</f>
        <v>176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232</v>
      </c>
      <c r="C20">
        <f>F19</f>
        <v>176</v>
      </c>
      <c r="D20">
        <f>C20+I$3</f>
        <v>177</v>
      </c>
      <c r="E20">
        <f t="shared" ref="E20" si="17">D20+J$3</f>
        <v>178</v>
      </c>
      <c r="F20">
        <f t="shared" ref="F20" si="18">E20+K$3</f>
        <v>181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A21" t="s">
        <v>147</v>
      </c>
      <c r="C21">
        <f>F20</f>
        <v>181</v>
      </c>
      <c r="D21">
        <f>C21+I$5</f>
        <v>181</v>
      </c>
      <c r="E21">
        <f>D21+J$5</f>
        <v>181</v>
      </c>
      <c r="F21">
        <f>E21+K$5</f>
        <v>181</v>
      </c>
      <c r="I21">
        <f>v0!K101</f>
        <v>0</v>
      </c>
      <c r="J21">
        <f>v0!L101</f>
        <v>0</v>
      </c>
      <c r="K21">
        <f>v0!M101</f>
        <v>0</v>
      </c>
      <c r="L21">
        <f>v0!N101</f>
        <v>0</v>
      </c>
      <c r="M21">
        <f>v0!O101</f>
        <v>0</v>
      </c>
      <c r="N21">
        <f>v0!P101</f>
        <v>0</v>
      </c>
      <c r="O21">
        <f>v0!Q101</f>
        <v>0</v>
      </c>
      <c r="P21">
        <f>v0!R101</f>
        <v>0</v>
      </c>
    </row>
    <row r="22" spans="1:16" x14ac:dyDescent="0.2">
      <c r="A22" t="s">
        <v>143</v>
      </c>
      <c r="B22">
        <f>D6-2</f>
        <v>12</v>
      </c>
      <c r="C22">
        <f t="shared" ref="C22:F24" si="19">B22+I$19</f>
        <v>14</v>
      </c>
      <c r="D22">
        <f t="shared" si="19"/>
        <v>20</v>
      </c>
      <c r="E22">
        <f t="shared" si="19"/>
        <v>28</v>
      </c>
      <c r="F22">
        <f t="shared" si="19"/>
        <v>30</v>
      </c>
      <c r="I22">
        <f>v0!K102</f>
        <v>0</v>
      </c>
      <c r="J22">
        <f>v0!L102</f>
        <v>0</v>
      </c>
      <c r="K22">
        <f>v0!M102</f>
        <v>0</v>
      </c>
      <c r="L22">
        <f>v0!N102</f>
        <v>0</v>
      </c>
      <c r="M22">
        <f>v0!O102</f>
        <v>0</v>
      </c>
      <c r="N22">
        <f>v0!P102</f>
        <v>0</v>
      </c>
      <c r="O22">
        <f>v0!Q102</f>
        <v>0</v>
      </c>
      <c r="P22">
        <f>v0!R102</f>
        <v>0</v>
      </c>
    </row>
    <row r="23" spans="1:16" x14ac:dyDescent="0.2">
      <c r="A23" t="s">
        <v>144</v>
      </c>
      <c r="B23">
        <f>B14-J19</f>
        <v>95</v>
      </c>
      <c r="C23">
        <f t="shared" si="19"/>
        <v>97</v>
      </c>
      <c r="D23">
        <f t="shared" si="19"/>
        <v>103</v>
      </c>
      <c r="E23">
        <f t="shared" si="19"/>
        <v>111</v>
      </c>
      <c r="F23">
        <f t="shared" si="19"/>
        <v>113</v>
      </c>
      <c r="I23">
        <f>v0!K103</f>
        <v>0</v>
      </c>
      <c r="J23">
        <f>v0!L103</f>
        <v>0</v>
      </c>
      <c r="K23">
        <f>v0!M103</f>
        <v>0</v>
      </c>
      <c r="L23">
        <f>v0!N103</f>
        <v>0</v>
      </c>
      <c r="M23">
        <f>v0!O103</f>
        <v>0</v>
      </c>
      <c r="N23">
        <f>v0!P103</f>
        <v>0</v>
      </c>
      <c r="O23">
        <f>v0!Q103</f>
        <v>0</v>
      </c>
      <c r="P23">
        <f>v0!R103</f>
        <v>0</v>
      </c>
    </row>
    <row r="24" spans="1:16" x14ac:dyDescent="0.2">
      <c r="A24" t="s">
        <v>239</v>
      </c>
      <c r="B24">
        <f>B18-J19</f>
        <v>139</v>
      </c>
      <c r="C24">
        <f t="shared" si="19"/>
        <v>141</v>
      </c>
      <c r="D24">
        <f t="shared" si="19"/>
        <v>147</v>
      </c>
      <c r="E24">
        <f t="shared" si="19"/>
        <v>155</v>
      </c>
      <c r="F24">
        <f t="shared" si="19"/>
        <v>157</v>
      </c>
      <c r="I24">
        <f>v0!K104</f>
        <v>0</v>
      </c>
      <c r="J24">
        <f>v0!L104</f>
        <v>0</v>
      </c>
      <c r="K24">
        <f>v0!M104</f>
        <v>0</v>
      </c>
      <c r="L24">
        <f>v0!N104</f>
        <v>0</v>
      </c>
      <c r="M24">
        <f>v0!O104</f>
        <v>0</v>
      </c>
      <c r="N24">
        <f>v0!P104</f>
        <v>0</v>
      </c>
      <c r="O24">
        <f>v0!Q104</f>
        <v>0</v>
      </c>
      <c r="P24">
        <f>v0!R104</f>
        <v>0</v>
      </c>
    </row>
    <row r="25" spans="1:16" x14ac:dyDescent="0.2">
      <c r="I25">
        <f>v0!K105</f>
        <v>0</v>
      </c>
      <c r="J25">
        <f>v0!L105</f>
        <v>0</v>
      </c>
      <c r="K25">
        <f>v0!M105</f>
        <v>0</v>
      </c>
      <c r="L25">
        <f>v0!N105</f>
        <v>0</v>
      </c>
      <c r="M25">
        <f>v0!O105</f>
        <v>0</v>
      </c>
      <c r="N25">
        <f>v0!P105</f>
        <v>0</v>
      </c>
      <c r="O25">
        <f>v0!Q105</f>
        <v>0</v>
      </c>
      <c r="P25">
        <f>v0!R105</f>
        <v>0</v>
      </c>
    </row>
    <row r="26" spans="1:16" x14ac:dyDescent="0.2">
      <c r="I26">
        <f>v0!K106</f>
        <v>0</v>
      </c>
      <c r="J26">
        <f>v0!L106</f>
        <v>0</v>
      </c>
      <c r="K26">
        <f>v0!M106</f>
        <v>0</v>
      </c>
      <c r="L26">
        <f>v0!N106</f>
        <v>0</v>
      </c>
      <c r="M26">
        <f>v0!O106</f>
        <v>0</v>
      </c>
      <c r="N26">
        <f>v0!P106</f>
        <v>0</v>
      </c>
      <c r="O26">
        <f>v0!Q106</f>
        <v>0</v>
      </c>
      <c r="P26">
        <f>v0!R106</f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5CD4-0F23-4B5D-858D-80243844B2B7}">
  <dimension ref="A1:P26"/>
  <sheetViews>
    <sheetView workbookViewId="0">
      <selection activeCell="M20" sqref="M20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233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198</v>
      </c>
      <c r="B5" s="43">
        <f>'264PMF Y c1 round0'!B5</f>
        <v>14</v>
      </c>
      <c r="C5">
        <f>B5+I17</f>
        <v>16</v>
      </c>
      <c r="D5">
        <f t="shared" ref="D5" si="0">C5+J17</f>
        <v>34</v>
      </c>
      <c r="E5">
        <f>D5+K17+4</f>
        <v>30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199</v>
      </c>
      <c r="B6" s="43">
        <f>'264PMF Y c1 round0'!B6</f>
        <v>64</v>
      </c>
      <c r="C6">
        <f>B6+I17</f>
        <v>66</v>
      </c>
      <c r="D6">
        <f t="shared" ref="D6:E6" si="1">C6+J17</f>
        <v>84</v>
      </c>
      <c r="E6">
        <f t="shared" si="1"/>
        <v>76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212</v>
      </c>
      <c r="B7" s="43"/>
      <c r="E7">
        <f>E5+1</f>
        <v>31</v>
      </c>
      <c r="F7">
        <f>E7+2</f>
        <v>33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f>v0!P81</f>
        <v>0</v>
      </c>
      <c r="O7">
        <f>v0!Q81</f>
        <v>12</v>
      </c>
      <c r="P7">
        <f>v0!R81</f>
        <v>0</v>
      </c>
    </row>
    <row r="8" spans="1:16" x14ac:dyDescent="0.2">
      <c r="A8" t="s">
        <v>214</v>
      </c>
      <c r="B8" s="43"/>
      <c r="E8">
        <f>F7</f>
        <v>33</v>
      </c>
      <c r="F8">
        <f t="shared" ref="F8:F9" si="2">E8+2</f>
        <v>35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215</v>
      </c>
      <c r="B9" s="43"/>
      <c r="E9">
        <f t="shared" ref="E9:E14" si="3">F8</f>
        <v>35</v>
      </c>
      <c r="F9">
        <f t="shared" si="2"/>
        <v>37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216</v>
      </c>
      <c r="B10" s="43"/>
      <c r="E10">
        <f t="shared" si="3"/>
        <v>37</v>
      </c>
      <c r="F10">
        <f>E10+4</f>
        <v>41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213</v>
      </c>
      <c r="B11" s="43"/>
      <c r="E11">
        <f>E6+1</f>
        <v>77</v>
      </c>
      <c r="F11">
        <f>E11+2</f>
        <v>79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217</v>
      </c>
      <c r="B12" s="43"/>
      <c r="E12">
        <f t="shared" si="3"/>
        <v>79</v>
      </c>
      <c r="F12">
        <f t="shared" ref="F12:F13" si="4">E12+2</f>
        <v>81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218</v>
      </c>
      <c r="B13" s="43"/>
      <c r="E13">
        <f t="shared" si="3"/>
        <v>81</v>
      </c>
      <c r="F13">
        <f t="shared" si="4"/>
        <v>83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219</v>
      </c>
      <c r="E14">
        <f t="shared" si="3"/>
        <v>83</v>
      </c>
      <c r="F14">
        <f>E14+4</f>
        <v>87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9:16" x14ac:dyDescent="0.2">
      <c r="I17">
        <f>v0!K91</f>
        <v>2</v>
      </c>
      <c r="J17">
        <v>18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9:16" x14ac:dyDescent="0.2"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9:16" x14ac:dyDescent="0.2"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9:16" x14ac:dyDescent="0.2"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9:16" x14ac:dyDescent="0.2">
      <c r="I21">
        <f>v0!K101</f>
        <v>0</v>
      </c>
      <c r="J21">
        <f>v0!L101</f>
        <v>0</v>
      </c>
      <c r="K21">
        <f>v0!M101</f>
        <v>0</v>
      </c>
      <c r="L21">
        <f>v0!N101</f>
        <v>0</v>
      </c>
      <c r="M21">
        <f>v0!O101</f>
        <v>0</v>
      </c>
      <c r="N21">
        <f>v0!P101</f>
        <v>0</v>
      </c>
      <c r="O21">
        <f>v0!Q101</f>
        <v>0</v>
      </c>
      <c r="P21">
        <f>v0!R101</f>
        <v>0</v>
      </c>
    </row>
    <row r="22" spans="9:16" x14ac:dyDescent="0.2">
      <c r="I22">
        <f>v0!K102</f>
        <v>0</v>
      </c>
      <c r="J22">
        <f>v0!L102</f>
        <v>0</v>
      </c>
      <c r="K22">
        <f>v0!M102</f>
        <v>0</v>
      </c>
      <c r="L22">
        <f>v0!N102</f>
        <v>0</v>
      </c>
      <c r="M22">
        <f>v0!O102</f>
        <v>0</v>
      </c>
      <c r="N22">
        <f>v0!P102</f>
        <v>0</v>
      </c>
      <c r="O22">
        <f>v0!Q102</f>
        <v>0</v>
      </c>
      <c r="P22">
        <f>v0!R102</f>
        <v>0</v>
      </c>
    </row>
    <row r="23" spans="9:16" x14ac:dyDescent="0.2">
      <c r="I23">
        <f>v0!K103</f>
        <v>0</v>
      </c>
      <c r="J23">
        <f>v0!L103</f>
        <v>0</v>
      </c>
      <c r="K23">
        <f>v0!M103</f>
        <v>0</v>
      </c>
      <c r="L23">
        <f>v0!N103</f>
        <v>0</v>
      </c>
      <c r="M23">
        <f>v0!O103</f>
        <v>0</v>
      </c>
      <c r="N23">
        <f>v0!P103</f>
        <v>0</v>
      </c>
      <c r="O23">
        <f>v0!Q103</f>
        <v>0</v>
      </c>
      <c r="P23">
        <f>v0!R103</f>
        <v>0</v>
      </c>
    </row>
    <row r="24" spans="9:16" x14ac:dyDescent="0.2">
      <c r="I24">
        <f>v0!K104</f>
        <v>0</v>
      </c>
      <c r="J24">
        <f>v0!L104</f>
        <v>0</v>
      </c>
      <c r="K24">
        <f>v0!M104</f>
        <v>0</v>
      </c>
      <c r="L24">
        <f>v0!N104</f>
        <v>0</v>
      </c>
      <c r="M24">
        <f>v0!O104</f>
        <v>0</v>
      </c>
      <c r="N24">
        <f>v0!P104</f>
        <v>0</v>
      </c>
      <c r="O24">
        <f>v0!Q104</f>
        <v>0</v>
      </c>
      <c r="P24">
        <f>v0!R104</f>
        <v>0</v>
      </c>
    </row>
    <row r="25" spans="9:16" x14ac:dyDescent="0.2">
      <c r="I25">
        <f>v0!K105</f>
        <v>0</v>
      </c>
      <c r="J25">
        <f>v0!L105</f>
        <v>0</v>
      </c>
      <c r="K25">
        <f>v0!M105</f>
        <v>0</v>
      </c>
      <c r="L25">
        <f>v0!N105</f>
        <v>0</v>
      </c>
      <c r="M25">
        <f>v0!O105</f>
        <v>0</v>
      </c>
      <c r="N25">
        <f>v0!P105</f>
        <v>0</v>
      </c>
      <c r="O25">
        <f>v0!Q105</f>
        <v>0</v>
      </c>
      <c r="P25">
        <f>v0!R105</f>
        <v>0</v>
      </c>
    </row>
    <row r="26" spans="9:16" x14ac:dyDescent="0.2">
      <c r="I26">
        <f>v0!K106</f>
        <v>0</v>
      </c>
      <c r="J26">
        <f>v0!L106</f>
        <v>0</v>
      </c>
      <c r="K26">
        <f>v0!M106</f>
        <v>0</v>
      </c>
      <c r="L26">
        <f>v0!N106</f>
        <v>0</v>
      </c>
      <c r="M26">
        <f>v0!O106</f>
        <v>0</v>
      </c>
      <c r="N26">
        <f>v0!P106</f>
        <v>0</v>
      </c>
      <c r="O26">
        <f>v0!Q106</f>
        <v>0</v>
      </c>
      <c r="P26">
        <f>v0!R106</f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FD03-BF78-46BE-832D-3A5B174965E9}">
  <dimension ref="A1:AB34"/>
  <sheetViews>
    <sheetView workbookViewId="0">
      <selection activeCell="E31" sqref="E31"/>
    </sheetView>
  </sheetViews>
  <sheetFormatPr defaultRowHeight="14.25" x14ac:dyDescent="0.2"/>
  <cols>
    <col min="1" max="1" width="21.5" customWidth="1"/>
    <col min="3" max="3" width="10.625" customWidth="1"/>
  </cols>
  <sheetData>
    <row r="1" spans="1:28" x14ac:dyDescent="0.2">
      <c r="A1" t="s">
        <v>0</v>
      </c>
      <c r="B1" t="s">
        <v>150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v0!A84</f>
        <v>Yread latancy</v>
      </c>
      <c r="Q1" t="str">
        <f>v0!B84</f>
        <v>8x8 input cc</v>
      </c>
      <c r="R1" t="str">
        <f>v0!C84</f>
        <v>8x8 work cc</v>
      </c>
      <c r="S1" t="str">
        <f>v0!D84</f>
        <v>8x8 output cc</v>
      </c>
      <c r="U1" t="str">
        <f>v0!G76</f>
        <v>tqitq8x8 input</v>
      </c>
      <c r="V1" t="str">
        <f>v0!H76</f>
        <v>tqitq work</v>
      </c>
      <c r="W1" t="str">
        <f>v0!I76</f>
        <v>tqitq out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v0!A85</f>
        <v>2</v>
      </c>
      <c r="Q2">
        <f>v0!B85</f>
        <v>8</v>
      </c>
      <c r="R2">
        <f>v0!C85</f>
        <v>4</v>
      </c>
      <c r="S2">
        <f>v0!D85</f>
        <v>4</v>
      </c>
      <c r="U2">
        <f>v0!G77</f>
        <v>0</v>
      </c>
      <c r="V2">
        <f>v0!H77</f>
        <v>19</v>
      </c>
      <c r="W2">
        <f>v0!I77</f>
        <v>0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29</v>
      </c>
      <c r="B5">
        <v>0</v>
      </c>
      <c r="C5">
        <f>B5+$P$2</f>
        <v>2</v>
      </c>
      <c r="D5">
        <f>C5+$Q$2</f>
        <v>10</v>
      </c>
      <c r="E5">
        <f>D5+$R$2</f>
        <v>14</v>
      </c>
      <c r="F5">
        <f>E5+$S$2</f>
        <v>18</v>
      </c>
    </row>
    <row r="6" spans="1:28" x14ac:dyDescent="0.2">
      <c r="A6" t="s">
        <v>30</v>
      </c>
      <c r="B6">
        <f>B5+8</f>
        <v>8</v>
      </c>
      <c r="C6">
        <f t="shared" ref="C6:C8" si="0">B6+$P$2</f>
        <v>10</v>
      </c>
      <c r="D6">
        <f t="shared" ref="D6:D8" si="1">C6+$Q$2</f>
        <v>18</v>
      </c>
      <c r="E6">
        <f t="shared" ref="E6:E8" si="2">D6+$R$2</f>
        <v>22</v>
      </c>
      <c r="F6">
        <f t="shared" ref="F6:F8" si="3">E6+$S$2</f>
        <v>26</v>
      </c>
    </row>
    <row r="7" spans="1:28" x14ac:dyDescent="0.2">
      <c r="A7" t="s">
        <v>31</v>
      </c>
      <c r="B7">
        <f>B6+8</f>
        <v>16</v>
      </c>
      <c r="C7">
        <f t="shared" si="0"/>
        <v>18</v>
      </c>
      <c r="D7">
        <f t="shared" si="1"/>
        <v>26</v>
      </c>
      <c r="E7">
        <f t="shared" si="2"/>
        <v>30</v>
      </c>
      <c r="F7">
        <f t="shared" si="3"/>
        <v>34</v>
      </c>
    </row>
    <row r="8" spans="1:28" x14ac:dyDescent="0.2">
      <c r="A8" t="s">
        <v>50</v>
      </c>
      <c r="B8">
        <f>B7+8</f>
        <v>24</v>
      </c>
      <c r="C8">
        <f t="shared" si="0"/>
        <v>26</v>
      </c>
      <c r="D8">
        <f t="shared" si="1"/>
        <v>34</v>
      </c>
      <c r="E8">
        <f t="shared" si="2"/>
        <v>38</v>
      </c>
      <c r="F8">
        <f t="shared" si="3"/>
        <v>42</v>
      </c>
    </row>
    <row r="9" spans="1:28" x14ac:dyDescent="0.2">
      <c r="A9" t="s">
        <v>32</v>
      </c>
      <c r="C9">
        <f>F8</f>
        <v>42</v>
      </c>
      <c r="D9">
        <f>C9+$U$2</f>
        <v>42</v>
      </c>
      <c r="E9">
        <f>D9+$V$2</f>
        <v>61</v>
      </c>
      <c r="F9">
        <f>E9+$W$2</f>
        <v>61</v>
      </c>
    </row>
    <row r="10" spans="1:28" x14ac:dyDescent="0.2">
      <c r="A10" t="s">
        <v>33</v>
      </c>
      <c r="C10">
        <f>F9</f>
        <v>61</v>
      </c>
      <c r="D10">
        <f>C10+$H$2</f>
        <v>62</v>
      </c>
      <c r="E10">
        <f>D10+$I$2</f>
        <v>63</v>
      </c>
      <c r="F10">
        <f>E10+$J$2</f>
        <v>64</v>
      </c>
    </row>
    <row r="11" spans="1:28" x14ac:dyDescent="0.2">
      <c r="A11" t="s">
        <v>34</v>
      </c>
      <c r="C11">
        <f>F10</f>
        <v>64</v>
      </c>
      <c r="D11">
        <f>C11+$L$2</f>
        <v>65</v>
      </c>
      <c r="E11">
        <f>D11+$M$2</f>
        <v>66</v>
      </c>
      <c r="F11">
        <f>E11+$N$2</f>
        <v>70</v>
      </c>
    </row>
    <row r="12" spans="1:28" x14ac:dyDescent="0.2">
      <c r="A12" t="s">
        <v>44</v>
      </c>
      <c r="B12">
        <f>D31-2</f>
        <v>79</v>
      </c>
      <c r="C12">
        <f>B12+$P$2</f>
        <v>81</v>
      </c>
      <c r="D12">
        <f>C12+$Q$2</f>
        <v>89</v>
      </c>
      <c r="E12">
        <f>D12+$R$2</f>
        <v>93</v>
      </c>
      <c r="F12">
        <f>E12+$S$2</f>
        <v>97</v>
      </c>
    </row>
    <row r="13" spans="1:28" x14ac:dyDescent="0.2">
      <c r="A13" t="s">
        <v>37</v>
      </c>
      <c r="C13">
        <f>F12</f>
        <v>97</v>
      </c>
      <c r="D13">
        <f>C13+$U$2</f>
        <v>97</v>
      </c>
      <c r="E13">
        <f>D13+$V$2</f>
        <v>116</v>
      </c>
      <c r="F13">
        <f>E13+$W$2</f>
        <v>116</v>
      </c>
    </row>
    <row r="14" spans="1:28" x14ac:dyDescent="0.2">
      <c r="A14" t="s">
        <v>33</v>
      </c>
      <c r="C14">
        <f>F13</f>
        <v>116</v>
      </c>
      <c r="D14">
        <f>C14+$H$2</f>
        <v>117</v>
      </c>
      <c r="E14">
        <f>D14+$I$2</f>
        <v>118</v>
      </c>
      <c r="F14">
        <f>E14+$J$2</f>
        <v>119</v>
      </c>
    </row>
    <row r="15" spans="1:28" x14ac:dyDescent="0.2">
      <c r="A15" t="s">
        <v>34</v>
      </c>
      <c r="C15">
        <f>F14</f>
        <v>119</v>
      </c>
      <c r="D15">
        <f>C15+$L$2</f>
        <v>120</v>
      </c>
      <c r="E15">
        <f>D15+$M$2</f>
        <v>121</v>
      </c>
      <c r="F15">
        <f>E15+$N$2</f>
        <v>125</v>
      </c>
    </row>
    <row r="16" spans="1:28" x14ac:dyDescent="0.2">
      <c r="A16" t="s">
        <v>38</v>
      </c>
      <c r="B16">
        <f>F15</f>
        <v>125</v>
      </c>
      <c r="C16">
        <f>B16+$P$2</f>
        <v>127</v>
      </c>
      <c r="D16">
        <f>C16+$Q$2</f>
        <v>135</v>
      </c>
      <c r="E16">
        <f>D16+$R$2</f>
        <v>139</v>
      </c>
      <c r="F16">
        <f>E16+$S$2</f>
        <v>143</v>
      </c>
    </row>
    <row r="17" spans="1:6" x14ac:dyDescent="0.2">
      <c r="A17" t="s">
        <v>37</v>
      </c>
      <c r="C17">
        <f>F16</f>
        <v>143</v>
      </c>
      <c r="D17">
        <f>C17+$U$2</f>
        <v>143</v>
      </c>
      <c r="E17">
        <f>D17+$V$2</f>
        <v>162</v>
      </c>
      <c r="F17">
        <f>E17+$W$2</f>
        <v>162</v>
      </c>
    </row>
    <row r="18" spans="1:6" x14ac:dyDescent="0.2">
      <c r="A18" t="s">
        <v>33</v>
      </c>
      <c r="C18">
        <f>F17</f>
        <v>162</v>
      </c>
      <c r="D18">
        <f>C18+$H$2</f>
        <v>163</v>
      </c>
      <c r="E18">
        <f>D18+$I$2</f>
        <v>164</v>
      </c>
      <c r="F18">
        <f>E18+$J$2</f>
        <v>165</v>
      </c>
    </row>
    <row r="19" spans="1:6" x14ac:dyDescent="0.2">
      <c r="A19" t="s">
        <v>34</v>
      </c>
      <c r="C19">
        <f>F18</f>
        <v>165</v>
      </c>
      <c r="D19">
        <f>C19+$L$2</f>
        <v>166</v>
      </c>
      <c r="E19">
        <f>D19+$M$2</f>
        <v>167</v>
      </c>
      <c r="F19">
        <f>E19+$N$2</f>
        <v>171</v>
      </c>
    </row>
    <row r="20" spans="1:6" x14ac:dyDescent="0.2">
      <c r="A20" t="s">
        <v>42</v>
      </c>
      <c r="B20">
        <f>F19</f>
        <v>171</v>
      </c>
      <c r="C20">
        <f>B20+$P$2</f>
        <v>173</v>
      </c>
      <c r="D20">
        <f>C20+$Q$2</f>
        <v>181</v>
      </c>
      <c r="E20">
        <f>D20+$R$2</f>
        <v>185</v>
      </c>
      <c r="F20">
        <f>E20+$S$2</f>
        <v>189</v>
      </c>
    </row>
    <row r="21" spans="1:6" x14ac:dyDescent="0.2">
      <c r="A21" t="s">
        <v>32</v>
      </c>
      <c r="C21">
        <f>F20</f>
        <v>189</v>
      </c>
      <c r="D21">
        <f>C21+$U$2</f>
        <v>189</v>
      </c>
      <c r="E21">
        <f>D21+$V$2</f>
        <v>208</v>
      </c>
      <c r="F21">
        <f>E21+$W$2</f>
        <v>208</v>
      </c>
    </row>
    <row r="22" spans="1:6" x14ac:dyDescent="0.2">
      <c r="A22" t="s">
        <v>33</v>
      </c>
      <c r="C22">
        <f>F21</f>
        <v>208</v>
      </c>
      <c r="D22">
        <f>C22+$H$2</f>
        <v>209</v>
      </c>
      <c r="E22">
        <f>D22+$I$2</f>
        <v>210</v>
      </c>
      <c r="F22">
        <f>E22+$J$2</f>
        <v>211</v>
      </c>
    </row>
    <row r="23" spans="1:6" x14ac:dyDescent="0.2">
      <c r="A23" t="s">
        <v>34</v>
      </c>
      <c r="C23">
        <f>F22</f>
        <v>211</v>
      </c>
      <c r="D23">
        <f>C23+$L$2</f>
        <v>212</v>
      </c>
      <c r="E23">
        <f>D23+$M$2</f>
        <v>213</v>
      </c>
      <c r="F23">
        <f>E23+$N$2</f>
        <v>217</v>
      </c>
    </row>
    <row r="24" spans="1:6" x14ac:dyDescent="0.2">
      <c r="A24" t="s">
        <v>22</v>
      </c>
      <c r="D24">
        <f>F23</f>
        <v>217</v>
      </c>
      <c r="E24">
        <f>D24+7</f>
        <v>224</v>
      </c>
      <c r="F24">
        <f>E24+1</f>
        <v>225</v>
      </c>
    </row>
    <row r="25" spans="1:6" x14ac:dyDescent="0.2">
      <c r="A25" t="s">
        <v>43</v>
      </c>
      <c r="B25">
        <f>B8+8</f>
        <v>32</v>
      </c>
      <c r="C25">
        <f t="shared" ref="C25:C26" si="4">B25+$P$2</f>
        <v>34</v>
      </c>
      <c r="D25">
        <f t="shared" ref="D25:D26" si="5">C25+$Q$2</f>
        <v>42</v>
      </c>
      <c r="E25">
        <f t="shared" ref="E25:E26" si="6">D25+$R$2</f>
        <v>46</v>
      </c>
      <c r="F25">
        <f t="shared" ref="F25:F26" si="7">E25+$S$2</f>
        <v>50</v>
      </c>
    </row>
    <row r="26" spans="1:6" x14ac:dyDescent="0.2">
      <c r="A26" t="s">
        <v>35</v>
      </c>
      <c r="B26">
        <f>B25+8</f>
        <v>40</v>
      </c>
      <c r="C26">
        <f t="shared" si="4"/>
        <v>42</v>
      </c>
      <c r="D26">
        <f t="shared" si="5"/>
        <v>50</v>
      </c>
      <c r="E26">
        <f t="shared" si="6"/>
        <v>54</v>
      </c>
      <c r="F26">
        <f t="shared" si="7"/>
        <v>58</v>
      </c>
    </row>
    <row r="27" spans="1:6" x14ac:dyDescent="0.2">
      <c r="A27" t="s">
        <v>51</v>
      </c>
      <c r="B27">
        <f>B26+8</f>
        <v>48</v>
      </c>
      <c r="C27">
        <f>B27+$P$2</f>
        <v>50</v>
      </c>
      <c r="D27">
        <f>C27+$Q$2</f>
        <v>58</v>
      </c>
      <c r="E27">
        <f>D27+$R$2</f>
        <v>62</v>
      </c>
      <c r="F27">
        <f>E27+$S$2</f>
        <v>66</v>
      </c>
    </row>
    <row r="28" spans="1:6" x14ac:dyDescent="0.2">
      <c r="A28" t="s">
        <v>49</v>
      </c>
      <c r="B28">
        <f>D30-2</f>
        <v>103</v>
      </c>
      <c r="C28">
        <f>B28+$P$2</f>
        <v>105</v>
      </c>
      <c r="D28">
        <f>C28+$Q$2</f>
        <v>113</v>
      </c>
      <c r="E28">
        <f>D28+$R$2</f>
        <v>117</v>
      </c>
      <c r="F28">
        <f>E28+$S$2</f>
        <v>121</v>
      </c>
    </row>
    <row r="29" spans="1:6" x14ac:dyDescent="0.2">
      <c r="A29" t="s">
        <v>45</v>
      </c>
      <c r="B29">
        <f>B12+8</f>
        <v>87</v>
      </c>
      <c r="C29">
        <f>B29+$P$2</f>
        <v>89</v>
      </c>
      <c r="D29">
        <f>C29+$Q$2</f>
        <v>97</v>
      </c>
      <c r="E29">
        <f>D29+$R$2</f>
        <v>101</v>
      </c>
      <c r="F29">
        <f>E29+$S$2</f>
        <v>105</v>
      </c>
    </row>
    <row r="30" spans="1:6" x14ac:dyDescent="0.2">
      <c r="A30" t="s">
        <v>46</v>
      </c>
      <c r="B30">
        <f>B29+8</f>
        <v>95</v>
      </c>
      <c r="C30">
        <f>B30+$P$2</f>
        <v>97</v>
      </c>
      <c r="D30">
        <f>C30+$Q$2</f>
        <v>105</v>
      </c>
      <c r="E30">
        <f>D30+$R$2</f>
        <v>109</v>
      </c>
      <c r="F30">
        <f>E30+$S$2</f>
        <v>113</v>
      </c>
    </row>
    <row r="31" spans="1:6" x14ac:dyDescent="0.2">
      <c r="A31" t="s">
        <v>181</v>
      </c>
      <c r="B31">
        <f>D27-2</f>
        <v>56</v>
      </c>
      <c r="C31">
        <f>B31+$Y$2</f>
        <v>58</v>
      </c>
      <c r="D31">
        <f>C31+$Z$2</f>
        <v>81</v>
      </c>
      <c r="E31" s="43">
        <f>D31+$AA$2</f>
        <v>73</v>
      </c>
      <c r="F31">
        <f>E31+$AB$2</f>
        <v>89</v>
      </c>
    </row>
    <row r="32" spans="1:6" x14ac:dyDescent="0.2">
      <c r="A32" t="s">
        <v>39</v>
      </c>
      <c r="B32">
        <f>D16-2</f>
        <v>133</v>
      </c>
      <c r="C32">
        <f>B32+$P$2</f>
        <v>135</v>
      </c>
      <c r="D32">
        <f>C32+$Q$2</f>
        <v>143</v>
      </c>
      <c r="E32">
        <f>D32+$R$2</f>
        <v>147</v>
      </c>
      <c r="F32">
        <f>E32+$S$2</f>
        <v>151</v>
      </c>
    </row>
    <row r="33" spans="1:6" x14ac:dyDescent="0.2">
      <c r="A33" t="s">
        <v>40</v>
      </c>
      <c r="B33">
        <f>B32+8</f>
        <v>141</v>
      </c>
      <c r="C33">
        <f>B33+$P$2</f>
        <v>143</v>
      </c>
      <c r="D33">
        <f>C33+$Q$2</f>
        <v>151</v>
      </c>
      <c r="E33">
        <f>D33+$R$2</f>
        <v>155</v>
      </c>
      <c r="F33">
        <f>E33+$S$2</f>
        <v>159</v>
      </c>
    </row>
    <row r="34" spans="1:6" x14ac:dyDescent="0.2">
      <c r="A34" t="s">
        <v>41</v>
      </c>
      <c r="B34">
        <f>D33-2</f>
        <v>149</v>
      </c>
      <c r="C34">
        <f>B34+$P$2</f>
        <v>151</v>
      </c>
      <c r="D34">
        <f>C34+$Q$2</f>
        <v>159</v>
      </c>
      <c r="E34">
        <f>D34+$R$2</f>
        <v>163</v>
      </c>
      <c r="F34">
        <f>E34+$S$2</f>
        <v>167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A5-8DB8-41DD-B69F-0012EB1257B8}">
  <dimension ref="A1:F38"/>
  <sheetViews>
    <sheetView workbookViewId="0">
      <selection activeCell="H36" sqref="H36"/>
    </sheetView>
  </sheetViews>
  <sheetFormatPr defaultRowHeight="14.25" x14ac:dyDescent="0.2"/>
  <cols>
    <col min="1" max="1" width="21.5" customWidth="1"/>
    <col min="3" max="3" width="10.625" customWidth="1"/>
    <col min="6" max="6" width="10.5" customWidth="1"/>
  </cols>
  <sheetData>
    <row r="1" spans="1:6" x14ac:dyDescent="0.2">
      <c r="A1" t="str">
        <f>'PMF c0 round0'!A1</f>
        <v>tile</v>
      </c>
      <c r="B1" t="str">
        <f>'PMF c0 round0'!B1</f>
        <v>PMF c0 round0</v>
      </c>
    </row>
    <row r="2" spans="1:6" x14ac:dyDescent="0.2">
      <c r="A2" t="str">
        <f>'PMF c0 round0'!A2</f>
        <v>x</v>
      </c>
      <c r="B2" t="str">
        <f>'PMF c0 round0'!B2</f>
        <v>CYCLE</v>
      </c>
    </row>
    <row r="3" spans="1:6" x14ac:dyDescent="0.2">
      <c r="A3" t="str">
        <f>'PMF c0 round0'!A3</f>
        <v>y</v>
      </c>
      <c r="B3" t="str">
        <f>'PMF c0 round0'!B3</f>
        <v>MODE</v>
      </c>
    </row>
    <row r="4" spans="1:6" x14ac:dyDescent="0.2">
      <c r="A4" t="str">
        <f>'PMF c0 round0'!A4</f>
        <v>mode</v>
      </c>
      <c r="B4" t="str">
        <f>'PMF c0 round0'!B4</f>
        <v>pipe begin</v>
      </c>
      <c r="C4" t="str">
        <f>'PMF c0 round0'!C4</f>
        <v>input begin</v>
      </c>
      <c r="D4" t="str">
        <f>'PMF c0 round0'!D4</f>
        <v>input end</v>
      </c>
      <c r="E4" t="str">
        <f>'PMF c0 round0'!E4</f>
        <v>output begin</v>
      </c>
      <c r="F4" t="str">
        <f>'PMF c0 round0'!F4</f>
        <v>output end</v>
      </c>
    </row>
    <row r="5" spans="1:6" x14ac:dyDescent="0.2">
      <c r="A5" t="str">
        <f>'PMF c0 round0'!A5</f>
        <v>PMF_M8_0_a</v>
      </c>
      <c r="B5">
        <f>'PMF c0 round0'!B5</f>
        <v>0</v>
      </c>
      <c r="C5">
        <f>'PMF c0 round0'!C5</f>
        <v>2</v>
      </c>
      <c r="D5">
        <f>'PMF c0 round0'!D5</f>
        <v>10</v>
      </c>
      <c r="E5" s="40">
        <f>'PMF c0 round0'!E5+2</f>
        <v>16</v>
      </c>
      <c r="F5" s="40">
        <f>'PMF c0 round0'!F5+2</f>
        <v>20</v>
      </c>
    </row>
    <row r="6" spans="1:6" x14ac:dyDescent="0.2">
      <c r="A6" t="str">
        <f>'PMF c0 round0'!A6</f>
        <v xml:space="preserve">PMF_M8_0_b </v>
      </c>
      <c r="B6">
        <f>'PMF c0 round0'!B6</f>
        <v>8</v>
      </c>
      <c r="C6">
        <f>'PMF c0 round0'!C6</f>
        <v>10</v>
      </c>
      <c r="D6">
        <f>'PMF c0 round0'!D6</f>
        <v>18</v>
      </c>
      <c r="E6" s="40">
        <f>'PMF c0 round0'!E6+2</f>
        <v>24</v>
      </c>
      <c r="F6" s="40">
        <f>'PMF c0 round0'!F6+2</f>
        <v>28</v>
      </c>
    </row>
    <row r="7" spans="1:6" x14ac:dyDescent="0.2">
      <c r="A7" t="str">
        <f>'PMF c0 round0'!A7</f>
        <v xml:space="preserve">PMF_M8_0_c </v>
      </c>
      <c r="B7">
        <f>'PMF c0 round0'!B7</f>
        <v>16</v>
      </c>
      <c r="C7">
        <f>'PMF c0 round0'!C7</f>
        <v>18</v>
      </c>
      <c r="D7">
        <f>'PMF c0 round0'!D7</f>
        <v>26</v>
      </c>
      <c r="E7" s="40">
        <f>'PMF c0 round0'!E7+2</f>
        <v>32</v>
      </c>
      <c r="F7" s="40">
        <f>'PMF c0 round0'!F7+2</f>
        <v>36</v>
      </c>
    </row>
    <row r="8" spans="1:6" x14ac:dyDescent="0.2">
      <c r="A8" t="str">
        <f>'PMF c0 round0'!A8</f>
        <v>PMF_F8_0</v>
      </c>
      <c r="B8">
        <f>'PMF c0 round0'!B8</f>
        <v>24</v>
      </c>
      <c r="C8">
        <f>'PMF c0 round0'!C8</f>
        <v>26</v>
      </c>
      <c r="D8">
        <f>'PMF c0 round0'!D8</f>
        <v>34</v>
      </c>
      <c r="E8" s="40">
        <f>'PMF c0 round0'!E8+2</f>
        <v>40</v>
      </c>
      <c r="F8" s="40">
        <f>'PMF c0 round0'!F8+2</f>
        <v>44</v>
      </c>
    </row>
    <row r="9" spans="1:6" x14ac:dyDescent="0.2">
      <c r="A9" t="str">
        <f>'PMF c0 round0'!A9</f>
        <v xml:space="preserve">TQITQ_F8 </v>
      </c>
      <c r="B9">
        <f>'PMF c0 round0'!B9</f>
        <v>0</v>
      </c>
      <c r="C9">
        <f>'PMF c0 round0'!C9</f>
        <v>42</v>
      </c>
      <c r="D9">
        <f>'PMF c0 round0'!D9</f>
        <v>42</v>
      </c>
      <c r="E9">
        <f>'PMF c0 round0'!E9</f>
        <v>61</v>
      </c>
      <c r="F9">
        <f>'PMF c0 round0'!F9</f>
        <v>61</v>
      </c>
    </row>
    <row r="10" spans="1:6" x14ac:dyDescent="0.2">
      <c r="A10" t="str">
        <f>'PMF c0 round0'!A10</f>
        <v xml:space="preserve">INTER_PK8 </v>
      </c>
      <c r="B10">
        <f>'PMF c0 round0'!B10</f>
        <v>0</v>
      </c>
      <c r="C10">
        <f>'PMF c0 round0'!C10</f>
        <v>61</v>
      </c>
      <c r="D10">
        <f>'PMF c0 round0'!D10</f>
        <v>62</v>
      </c>
      <c r="E10">
        <f>'PMF c0 round0'!E10</f>
        <v>63</v>
      </c>
      <c r="F10">
        <f>'PMF c0 round0'!F10</f>
        <v>64</v>
      </c>
    </row>
    <row r="11" spans="1:6" x14ac:dyDescent="0.2">
      <c r="A11" t="str">
        <f>'PMF c0 round0'!A11</f>
        <v xml:space="preserve">SEL_PK8 </v>
      </c>
      <c r="B11">
        <f>'PMF c0 round0'!B11</f>
        <v>0</v>
      </c>
      <c r="C11">
        <f>'PMF c0 round0'!C11</f>
        <v>64</v>
      </c>
      <c r="D11">
        <f>'PMF c0 round0'!D11</f>
        <v>65</v>
      </c>
      <c r="E11">
        <f>'PMF c0 round0'!E11</f>
        <v>66</v>
      </c>
      <c r="F11">
        <f>'PMF c0 round0'!F11</f>
        <v>70</v>
      </c>
    </row>
    <row r="12" spans="1:6" x14ac:dyDescent="0.2">
      <c r="A12" t="str">
        <f>'PMF c0 round0'!A12</f>
        <v xml:space="preserve">PMF_M8_1_c </v>
      </c>
      <c r="B12">
        <f>'PMF c0 round0'!B12</f>
        <v>79</v>
      </c>
      <c r="C12">
        <f>'PMF c0 round0'!C12</f>
        <v>81</v>
      </c>
      <c r="D12">
        <f>'PMF c0 round0'!D12</f>
        <v>89</v>
      </c>
      <c r="E12" s="40">
        <f>'PMF c0 round0'!E12+2</f>
        <v>95</v>
      </c>
      <c r="F12" s="40">
        <f>'PMF c0 round0'!F12+2</f>
        <v>99</v>
      </c>
    </row>
    <row r="13" spans="1:6" x14ac:dyDescent="0.2">
      <c r="A13" t="str">
        <f>'PMF c0 round0'!A13</f>
        <v xml:space="preserve">TQITQ_M8 </v>
      </c>
      <c r="B13">
        <f>'PMF c0 round0'!B13</f>
        <v>0</v>
      </c>
      <c r="C13">
        <f>'PMF c0 round0'!C13</f>
        <v>97</v>
      </c>
      <c r="D13">
        <f>'PMF c0 round0'!D13</f>
        <v>97</v>
      </c>
      <c r="E13">
        <f>'PMF c0 round0'!E13</f>
        <v>116</v>
      </c>
      <c r="F13">
        <f>'PMF c0 round0'!F13</f>
        <v>116</v>
      </c>
    </row>
    <row r="14" spans="1:6" x14ac:dyDescent="0.2">
      <c r="A14" t="str">
        <f>'PMF c0 round0'!A14</f>
        <v xml:space="preserve">INTER_PK8 </v>
      </c>
      <c r="B14">
        <f>'PMF c0 round0'!B14</f>
        <v>0</v>
      </c>
      <c r="C14">
        <f>'PMF c0 round0'!C14</f>
        <v>116</v>
      </c>
      <c r="D14">
        <f>'PMF c0 round0'!D14</f>
        <v>117</v>
      </c>
      <c r="E14">
        <f>'PMF c0 round0'!E14</f>
        <v>118</v>
      </c>
      <c r="F14">
        <f>'PMF c0 round0'!F14</f>
        <v>119</v>
      </c>
    </row>
    <row r="15" spans="1:6" x14ac:dyDescent="0.2">
      <c r="A15" t="str">
        <f>'PMF c0 round0'!A15</f>
        <v xml:space="preserve">SEL_PK8 </v>
      </c>
      <c r="B15">
        <f>'PMF c0 round0'!B15</f>
        <v>0</v>
      </c>
      <c r="C15">
        <f>'PMF c0 round0'!C15</f>
        <v>119</v>
      </c>
      <c r="D15">
        <f>'PMF c0 round0'!D15</f>
        <v>120</v>
      </c>
      <c r="E15">
        <f>'PMF c0 round0'!E15</f>
        <v>121</v>
      </c>
      <c r="F15">
        <f>'PMF c0 round0'!F15</f>
        <v>125</v>
      </c>
    </row>
    <row r="16" spans="1:6" x14ac:dyDescent="0.2">
      <c r="A16" t="str">
        <f>'PMF c0 round0'!A16</f>
        <v xml:space="preserve">PMF_M8_2_c </v>
      </c>
      <c r="B16">
        <f>'PMF c0 round0'!B16</f>
        <v>125</v>
      </c>
      <c r="C16">
        <f>'PMF c0 round0'!C16</f>
        <v>127</v>
      </c>
      <c r="D16">
        <f>'PMF c0 round0'!D16</f>
        <v>135</v>
      </c>
      <c r="E16" s="40">
        <f>'PMF c0 round0'!E16+2</f>
        <v>141</v>
      </c>
      <c r="F16" s="40">
        <f>'PMF c0 round0'!F16+2</f>
        <v>145</v>
      </c>
    </row>
    <row r="17" spans="1:6" x14ac:dyDescent="0.2">
      <c r="A17" t="str">
        <f>'PMF c0 round0'!A17</f>
        <v xml:space="preserve">TQITQ_M8 </v>
      </c>
      <c r="B17">
        <f>'PMF c0 round0'!B17</f>
        <v>0</v>
      </c>
      <c r="C17">
        <f>'PMF c0 round0'!C17</f>
        <v>143</v>
      </c>
      <c r="D17">
        <f>'PMF c0 round0'!D17</f>
        <v>143</v>
      </c>
      <c r="E17">
        <f>'PMF c0 round0'!E17</f>
        <v>162</v>
      </c>
      <c r="F17">
        <f>'PMF c0 round0'!F17</f>
        <v>162</v>
      </c>
    </row>
    <row r="18" spans="1:6" x14ac:dyDescent="0.2">
      <c r="A18" t="str">
        <f>'PMF c0 round0'!A18</f>
        <v xml:space="preserve">INTER_PK8 </v>
      </c>
      <c r="B18">
        <f>'PMF c0 round0'!B18</f>
        <v>0</v>
      </c>
      <c r="C18">
        <f>'PMF c0 round0'!C18</f>
        <v>162</v>
      </c>
      <c r="D18">
        <f>'PMF c0 round0'!D18</f>
        <v>163</v>
      </c>
      <c r="E18">
        <f>'PMF c0 round0'!E18</f>
        <v>164</v>
      </c>
      <c r="F18">
        <f>'PMF c0 round0'!F18</f>
        <v>165</v>
      </c>
    </row>
    <row r="19" spans="1:6" x14ac:dyDescent="0.2">
      <c r="A19" t="str">
        <f>'PMF c0 round0'!A19</f>
        <v xml:space="preserve">SEL_PK8 </v>
      </c>
      <c r="B19">
        <f>'PMF c0 round0'!B19</f>
        <v>0</v>
      </c>
      <c r="C19">
        <f>'PMF c0 round0'!C19</f>
        <v>165</v>
      </c>
      <c r="D19">
        <f>'PMF c0 round0'!D19</f>
        <v>166</v>
      </c>
      <c r="E19">
        <f>'PMF c0 round0'!E19</f>
        <v>167</v>
      </c>
      <c r="F19">
        <f>'PMF c0 round0'!F19</f>
        <v>171</v>
      </c>
    </row>
    <row r="20" spans="1:6" x14ac:dyDescent="0.2">
      <c r="A20" t="str">
        <f>'PMF c0 round0'!A20</f>
        <v xml:space="preserve">PMF_M8_3_c </v>
      </c>
      <c r="B20">
        <f>'PMF c0 round0'!B20</f>
        <v>171</v>
      </c>
      <c r="C20">
        <f>'PMF c0 round0'!C20</f>
        <v>173</v>
      </c>
      <c r="D20">
        <f>'PMF c0 round0'!D20</f>
        <v>181</v>
      </c>
      <c r="E20" s="40">
        <f>'PMF c0 round0'!E20+5</f>
        <v>190</v>
      </c>
      <c r="F20" s="40">
        <f>'PMF c0 round0'!F20+5</f>
        <v>194</v>
      </c>
    </row>
    <row r="21" spans="1:6" x14ac:dyDescent="0.2">
      <c r="A21" t="str">
        <f>'PMF c0 round0'!A21</f>
        <v xml:space="preserve">TQITQ_F8 </v>
      </c>
      <c r="B21">
        <f>'PMF c0 round0'!B21</f>
        <v>0</v>
      </c>
      <c r="C21">
        <f>'PMF c0 round0'!C21</f>
        <v>189</v>
      </c>
      <c r="D21">
        <f>'PMF c0 round0'!D21</f>
        <v>189</v>
      </c>
      <c r="E21">
        <f>'PMF c0 round0'!E21</f>
        <v>208</v>
      </c>
      <c r="F21">
        <f>'PMF c0 round0'!F21</f>
        <v>208</v>
      </c>
    </row>
    <row r="22" spans="1:6" x14ac:dyDescent="0.2">
      <c r="A22" t="str">
        <f>'PMF c0 round0'!A22</f>
        <v xml:space="preserve">INTER_PK8 </v>
      </c>
      <c r="B22">
        <f>'PMF c0 round0'!B22</f>
        <v>0</v>
      </c>
      <c r="C22">
        <f>'PMF c0 round0'!C22</f>
        <v>208</v>
      </c>
      <c r="D22">
        <f>'PMF c0 round0'!D22</f>
        <v>209</v>
      </c>
      <c r="E22">
        <f>'PMF c0 round0'!E22</f>
        <v>210</v>
      </c>
      <c r="F22">
        <f>'PMF c0 round0'!F22</f>
        <v>211</v>
      </c>
    </row>
    <row r="23" spans="1:6" x14ac:dyDescent="0.2">
      <c r="A23" t="str">
        <f>'PMF c0 round0'!A23</f>
        <v xml:space="preserve">SEL_PK8 </v>
      </c>
      <c r="B23">
        <f>'PMF c0 round0'!B23</f>
        <v>0</v>
      </c>
      <c r="C23">
        <f>'PMF c0 round0'!C23</f>
        <v>211</v>
      </c>
      <c r="D23">
        <f>'PMF c0 round0'!D23</f>
        <v>212</v>
      </c>
      <c r="E23">
        <f>'PMF c0 round0'!E23</f>
        <v>213</v>
      </c>
      <c r="F23">
        <f>'PMF c0 round0'!F23</f>
        <v>217</v>
      </c>
    </row>
    <row r="24" spans="1:6" x14ac:dyDescent="0.2">
      <c r="A24" t="str">
        <f>'PMF c0 round0'!A24</f>
        <v>dummy wait</v>
      </c>
      <c r="B24">
        <f>'PMF c0 round0'!B24</f>
        <v>0</v>
      </c>
      <c r="C24">
        <f>'PMF c0 round0'!C24</f>
        <v>0</v>
      </c>
      <c r="D24">
        <f>'PMF c0 round0'!D24</f>
        <v>217</v>
      </c>
      <c r="E24">
        <f>'PMF c0 round0'!E24</f>
        <v>224</v>
      </c>
      <c r="F24">
        <f>'PMF c0 round0'!F24</f>
        <v>225</v>
      </c>
    </row>
    <row r="25" spans="1:6" x14ac:dyDescent="0.2">
      <c r="A25" t="str">
        <f>'PMF c0 round0'!A25</f>
        <v>PMF_M8_1_a</v>
      </c>
      <c r="B25">
        <f>'PMF c0 round0'!B25</f>
        <v>32</v>
      </c>
      <c r="C25">
        <f>'PMF c0 round0'!C25</f>
        <v>34</v>
      </c>
      <c r="D25">
        <f>'PMF c0 round0'!D25</f>
        <v>42</v>
      </c>
      <c r="E25" s="40">
        <f>'PMF c0 round0'!E25+2</f>
        <v>48</v>
      </c>
      <c r="F25" s="40">
        <f>'PMF c0 round0'!F25+2</f>
        <v>52</v>
      </c>
    </row>
    <row r="26" spans="1:6" x14ac:dyDescent="0.2">
      <c r="A26" t="str">
        <f>'PMF c0 round0'!A26</f>
        <v xml:space="preserve">PMF_M8_1_b </v>
      </c>
      <c r="B26">
        <f>'PMF c0 round0'!B26</f>
        <v>40</v>
      </c>
      <c r="C26">
        <f>'PMF c0 round0'!C26</f>
        <v>42</v>
      </c>
      <c r="D26">
        <f>'PMF c0 round0'!D26</f>
        <v>50</v>
      </c>
      <c r="E26" s="40">
        <f>'PMF c0 round0'!E26+2</f>
        <v>56</v>
      </c>
      <c r="F26" s="40">
        <f>'PMF c0 round0'!F26+2</f>
        <v>60</v>
      </c>
    </row>
    <row r="27" spans="1:6" x14ac:dyDescent="0.2">
      <c r="A27" t="str">
        <f>'PMF c0 round0'!A27</f>
        <v>PMF_F8_1</v>
      </c>
      <c r="B27">
        <f>'PMF c0 round0'!B27</f>
        <v>48</v>
      </c>
      <c r="C27">
        <f>'PMF c0 round0'!C27</f>
        <v>50</v>
      </c>
      <c r="D27">
        <f>'PMF c0 round0'!D27</f>
        <v>58</v>
      </c>
      <c r="E27" s="40">
        <f>'PMF c0 round0'!E27+2</f>
        <v>64</v>
      </c>
      <c r="F27" s="40">
        <f>'PMF c0 round0'!F27+2</f>
        <v>68</v>
      </c>
    </row>
    <row r="28" spans="1:6" x14ac:dyDescent="0.2">
      <c r="A28" t="str">
        <f>'PMF c0 round0'!A28</f>
        <v>PMF_F8_2</v>
      </c>
      <c r="B28">
        <f>'PMF c0 round0'!B28</f>
        <v>103</v>
      </c>
      <c r="C28">
        <f>'PMF c0 round0'!C28</f>
        <v>105</v>
      </c>
      <c r="D28">
        <f>'PMF c0 round0'!D28</f>
        <v>113</v>
      </c>
      <c r="E28" s="40">
        <f>'PMF c0 round0'!E28+2</f>
        <v>119</v>
      </c>
      <c r="F28" s="40">
        <f>'PMF c0 round0'!F28+2</f>
        <v>123</v>
      </c>
    </row>
    <row r="29" spans="1:6" x14ac:dyDescent="0.2">
      <c r="A29" t="str">
        <f>'PMF c0 round0'!A29</f>
        <v>PMF_M8_2_a</v>
      </c>
      <c r="B29">
        <f>'PMF c0 round0'!B29</f>
        <v>87</v>
      </c>
      <c r="C29">
        <f>'PMF c0 round0'!C29</f>
        <v>89</v>
      </c>
      <c r="D29">
        <f>'PMF c0 round0'!D29</f>
        <v>97</v>
      </c>
      <c r="E29" s="40">
        <f>'PMF c0 round0'!E29+2</f>
        <v>103</v>
      </c>
      <c r="F29" s="40">
        <f>'PMF c0 round0'!F29+2</f>
        <v>107</v>
      </c>
    </row>
    <row r="30" spans="1:6" x14ac:dyDescent="0.2">
      <c r="A30" t="str">
        <f>'PMF c0 round0'!A30</f>
        <v xml:space="preserve">PMF_M8_2_b </v>
      </c>
      <c r="B30">
        <f>'PMF c0 round0'!B30</f>
        <v>95</v>
      </c>
      <c r="C30">
        <f>'PMF c0 round0'!C30</f>
        <v>97</v>
      </c>
      <c r="D30">
        <f>'PMF c0 round0'!D30</f>
        <v>105</v>
      </c>
      <c r="E30" s="40">
        <f>'PMF c0 round0'!E30+2</f>
        <v>111</v>
      </c>
      <c r="F30" s="40">
        <f>'PMF c0 round0'!F30+2</f>
        <v>115</v>
      </c>
    </row>
    <row r="31" spans="1:6" x14ac:dyDescent="0.2">
      <c r="A31" t="str">
        <f>'PMF c0 round0'!A31</f>
        <v>PMF_F16_0</v>
      </c>
      <c r="B31">
        <f>'PMF c0 round0'!B31</f>
        <v>56</v>
      </c>
      <c r="C31">
        <f>'PMF c0 round0'!C31</f>
        <v>58</v>
      </c>
      <c r="D31">
        <f>'PMF c0 round0'!D31</f>
        <v>81</v>
      </c>
      <c r="E31">
        <f>'PMF c0 round0'!E31</f>
        <v>73</v>
      </c>
      <c r="F31">
        <f>'PMF c0 round0'!F31</f>
        <v>89</v>
      </c>
    </row>
    <row r="32" spans="1:6" x14ac:dyDescent="0.2">
      <c r="A32" t="str">
        <f>'PMF c0 round0'!A32</f>
        <v>PMF_M8_3_a</v>
      </c>
      <c r="B32">
        <f>'PMF c0 round0'!B32</f>
        <v>133</v>
      </c>
      <c r="C32">
        <f>'PMF c0 round0'!C32</f>
        <v>135</v>
      </c>
      <c r="D32">
        <f>'PMF c0 round0'!D32</f>
        <v>143</v>
      </c>
      <c r="E32" s="40">
        <f>'PMF c0 round0'!E32+2</f>
        <v>149</v>
      </c>
      <c r="F32" s="40">
        <f>'PMF c0 round0'!F32+2</f>
        <v>153</v>
      </c>
    </row>
    <row r="33" spans="1:6" x14ac:dyDescent="0.2">
      <c r="A33" t="str">
        <f>'PMF c0 round0'!A33</f>
        <v xml:space="preserve">PMF_M8_3_b </v>
      </c>
      <c r="B33">
        <f>'PMF c0 round0'!B33</f>
        <v>141</v>
      </c>
      <c r="C33">
        <f>'PMF c0 round0'!C33</f>
        <v>143</v>
      </c>
      <c r="D33">
        <f>'PMF c0 round0'!D33</f>
        <v>151</v>
      </c>
      <c r="E33" s="40">
        <f>'PMF c0 round0'!E33+2</f>
        <v>157</v>
      </c>
      <c r="F33" s="40">
        <f>'PMF c0 round0'!F33+2</f>
        <v>161</v>
      </c>
    </row>
    <row r="34" spans="1:6" x14ac:dyDescent="0.2">
      <c r="A34" t="str">
        <f>'PMF c0 round0'!A34</f>
        <v xml:space="preserve">PMF_F8_3 </v>
      </c>
      <c r="B34">
        <f>'PMF c0 round0'!B34</f>
        <v>149</v>
      </c>
      <c r="C34">
        <f>'PMF c0 round0'!C34</f>
        <v>151</v>
      </c>
      <c r="D34">
        <f>'PMF c0 round0'!D34</f>
        <v>159</v>
      </c>
      <c r="E34" s="40">
        <f>'PMF c0 round0'!E34+2</f>
        <v>165</v>
      </c>
      <c r="F34" s="40">
        <f>'PMF c0 round0'!F34+2</f>
        <v>169</v>
      </c>
    </row>
    <row r="35" spans="1:6" x14ac:dyDescent="0.2">
      <c r="A35">
        <f>'PMF c0 round0'!A35</f>
        <v>0</v>
      </c>
      <c r="B35">
        <f>'PMF c0 round0'!B35</f>
        <v>0</v>
      </c>
      <c r="C35">
        <f>'PMF c0 round0'!C35</f>
        <v>0</v>
      </c>
      <c r="D35">
        <f>'PMF c0 round0'!D35</f>
        <v>0</v>
      </c>
      <c r="E35">
        <f>'PMF c0 round0'!E35</f>
        <v>0</v>
      </c>
      <c r="F35">
        <f>'PMF c0 round0'!F35</f>
        <v>0</v>
      </c>
    </row>
    <row r="36" spans="1:6" x14ac:dyDescent="0.2">
      <c r="A36">
        <f>'PMF c0 round0'!A36</f>
        <v>0</v>
      </c>
      <c r="B36">
        <f>'PMF c0 round0'!B36</f>
        <v>0</v>
      </c>
      <c r="C36">
        <f>'PMF c0 round0'!C36</f>
        <v>0</v>
      </c>
      <c r="D36">
        <f>'PMF c0 round0'!D36</f>
        <v>0</v>
      </c>
      <c r="E36">
        <f>'PMF c0 round0'!E36</f>
        <v>0</v>
      </c>
      <c r="F36">
        <f>'PMF c0 round0'!F36</f>
        <v>0</v>
      </c>
    </row>
    <row r="37" spans="1:6" x14ac:dyDescent="0.2">
      <c r="A37">
        <f>'PMF c0 round0'!A37</f>
        <v>0</v>
      </c>
      <c r="B37">
        <f>'PMF c0 round0'!B37</f>
        <v>0</v>
      </c>
      <c r="C37">
        <f>'PMF c0 round0'!C37</f>
        <v>0</v>
      </c>
      <c r="D37">
        <f>'PMF c0 round0'!D37</f>
        <v>0</v>
      </c>
      <c r="E37">
        <f>'PMF c0 round0'!E37</f>
        <v>0</v>
      </c>
      <c r="F37">
        <f>'PMF c0 round0'!F37</f>
        <v>0</v>
      </c>
    </row>
    <row r="38" spans="1:6" x14ac:dyDescent="0.2">
      <c r="A38">
        <f>'PMF c0 round0'!A38</f>
        <v>0</v>
      </c>
      <c r="B38">
        <f>'PMF c0 round0'!B38</f>
        <v>0</v>
      </c>
      <c r="C38">
        <f>'PMF c0 round0'!C38</f>
        <v>0</v>
      </c>
      <c r="D38">
        <f>'PMF c0 round0'!D38</f>
        <v>0</v>
      </c>
      <c r="E38">
        <f>'PMF c0 round0'!E38</f>
        <v>0</v>
      </c>
      <c r="F38">
        <f>'PMF c0 round0'!F38</f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3389-FFB6-4E7A-82E3-8B45521F4717}">
  <dimension ref="A1:F36"/>
  <sheetViews>
    <sheetView workbookViewId="0">
      <selection activeCell="A30" sqref="A30"/>
    </sheetView>
  </sheetViews>
  <sheetFormatPr defaultRowHeight="14.25" x14ac:dyDescent="0.2"/>
  <cols>
    <col min="1" max="1" width="21.5" customWidth="1"/>
    <col min="3" max="3" width="10.625" customWidth="1"/>
  </cols>
  <sheetData>
    <row r="1" spans="1:6" x14ac:dyDescent="0.2">
      <c r="A1" t="str">
        <f>'PMF c0 round1-3'!A1</f>
        <v>tile</v>
      </c>
      <c r="B1" t="str">
        <f>'PMF c0 round1-3'!B1</f>
        <v>PMF C0 Round 1-3</v>
      </c>
      <c r="C1">
        <f>'PMF c0 round1-3'!C1</f>
        <v>0</v>
      </c>
      <c r="D1">
        <f>'PMF c0 round1-3'!D1</f>
        <v>0</v>
      </c>
      <c r="E1">
        <f>'PMF c0 round1-3'!E1</f>
        <v>0</v>
      </c>
      <c r="F1">
        <f>'PMF c0 round1-3'!F1</f>
        <v>0</v>
      </c>
    </row>
    <row r="2" spans="1:6" x14ac:dyDescent="0.2">
      <c r="A2" t="str">
        <f>'PMF c0 round1-3'!A2</f>
        <v>x</v>
      </c>
      <c r="B2" t="str">
        <f>'PMF c0 round1-3'!B2</f>
        <v>CYCLE</v>
      </c>
      <c r="C2">
        <f>'PMF c0 round1-3'!C2</f>
        <v>0</v>
      </c>
      <c r="D2">
        <f>'PMF c0 round1-3'!D2</f>
        <v>0</v>
      </c>
      <c r="E2">
        <f>'PMF c0 round1-3'!E2</f>
        <v>0</v>
      </c>
      <c r="F2">
        <f>'PMF c0 round1-3'!F2</f>
        <v>0</v>
      </c>
    </row>
    <row r="3" spans="1:6" x14ac:dyDescent="0.2">
      <c r="A3" t="str">
        <f>'PMF c0 round1-3'!A3</f>
        <v>y</v>
      </c>
      <c r="B3" t="str">
        <f>'PMF c0 round1-3'!B3</f>
        <v>MODE</v>
      </c>
      <c r="C3">
        <f>'PMF c0 round1-3'!C3</f>
        <v>0</v>
      </c>
      <c r="D3">
        <f>'PMF c0 round1-3'!D3</f>
        <v>0</v>
      </c>
      <c r="E3">
        <f>'PMF c0 round1-3'!E3</f>
        <v>0</v>
      </c>
      <c r="F3">
        <f>'PMF c0 round1-3'!F3</f>
        <v>0</v>
      </c>
    </row>
    <row r="4" spans="1:6" x14ac:dyDescent="0.2">
      <c r="A4" t="str">
        <f>'PMF c0 round1-3'!A4</f>
        <v>mode</v>
      </c>
      <c r="B4" t="str">
        <f>'PMF c0 round1-3'!B4</f>
        <v>pipe begin</v>
      </c>
      <c r="C4" t="str">
        <f>'PMF c0 round1-3'!C4</f>
        <v>input begin</v>
      </c>
      <c r="D4" t="str">
        <f>'PMF c0 round1-3'!D4</f>
        <v>input end</v>
      </c>
      <c r="E4" t="str">
        <f>'PMF c0 round1-3'!E4</f>
        <v>output begin</v>
      </c>
      <c r="F4" t="str">
        <f>'PMF c0 round1-3'!F4</f>
        <v>output end</v>
      </c>
    </row>
    <row r="5" spans="1:6" x14ac:dyDescent="0.2">
      <c r="A5" t="str">
        <f>'PMF c0 round1-3'!A5</f>
        <v>PMF_M8_0_a</v>
      </c>
      <c r="B5">
        <f>'PMF c0 round1-3'!B5</f>
        <v>202</v>
      </c>
      <c r="C5">
        <f>'PMF c0 round1-3'!C5</f>
        <v>204</v>
      </c>
      <c r="D5">
        <f>'PMF c0 round1-3'!D5</f>
        <v>212</v>
      </c>
      <c r="E5" s="40">
        <f>'PMF c0 round1-3'!E5+2</f>
        <v>218</v>
      </c>
      <c r="F5" s="40">
        <f>'PMF c0 round1-3'!F5+2</f>
        <v>222</v>
      </c>
    </row>
    <row r="6" spans="1:6" x14ac:dyDescent="0.2">
      <c r="A6" t="str">
        <f>'PMF c0 round1-3'!A6</f>
        <v xml:space="preserve">PMF_M8_0_b </v>
      </c>
      <c r="B6">
        <f>'PMF c0 round1-3'!B6</f>
        <v>210</v>
      </c>
      <c r="C6">
        <f>'PMF c0 round1-3'!C6</f>
        <v>212</v>
      </c>
      <c r="D6">
        <f>'PMF c0 round1-3'!D6</f>
        <v>220</v>
      </c>
      <c r="E6" s="40">
        <f>'PMF c0 round1-3'!E6+2</f>
        <v>226</v>
      </c>
      <c r="F6" s="40">
        <f>'PMF c0 round1-3'!F6+2</f>
        <v>230</v>
      </c>
    </row>
    <row r="7" spans="1:6" x14ac:dyDescent="0.2">
      <c r="A7" t="str">
        <f>'PMF c0 round1-3'!A7</f>
        <v xml:space="preserve">PMF_F8_0 </v>
      </c>
      <c r="B7">
        <f>'PMF c0 round1-3'!B7</f>
        <v>218</v>
      </c>
      <c r="C7">
        <f>'PMF c0 round1-3'!C7</f>
        <v>220</v>
      </c>
      <c r="D7">
        <f>'PMF c0 round1-3'!D7</f>
        <v>228</v>
      </c>
      <c r="E7" s="40">
        <f>'PMF c0 round1-3'!E7+2</f>
        <v>234</v>
      </c>
      <c r="F7" s="40">
        <f>'PMF c0 round1-3'!F7+2</f>
        <v>238</v>
      </c>
    </row>
    <row r="8" spans="1:6" x14ac:dyDescent="0.2">
      <c r="A8" t="str">
        <f>'PMF c0 round1-3'!A8</f>
        <v xml:space="preserve">PMF_M8_0_c </v>
      </c>
      <c r="B8">
        <f>'PMF c0 round1-3'!B8</f>
        <v>226</v>
      </c>
      <c r="C8">
        <f>'PMF c0 round1-3'!C8</f>
        <v>228</v>
      </c>
      <c r="D8">
        <f>'PMF c0 round1-3'!D8</f>
        <v>236</v>
      </c>
      <c r="E8" s="40">
        <f>'PMF c0 round1-3'!E8+2</f>
        <v>242</v>
      </c>
      <c r="F8" s="40">
        <f>'PMF c0 round1-3'!F8+2</f>
        <v>246</v>
      </c>
    </row>
    <row r="9" spans="1:6" x14ac:dyDescent="0.2">
      <c r="A9" t="str">
        <f>'PMF c0 round1-3'!A9</f>
        <v xml:space="preserve">TQITQ_M8 </v>
      </c>
      <c r="B9">
        <f>'PMF c0 round1-3'!B9</f>
        <v>0</v>
      </c>
      <c r="C9">
        <f>'PMF c0 round1-3'!C9</f>
        <v>240</v>
      </c>
      <c r="D9">
        <f>'PMF c0 round1-3'!D9</f>
        <v>240</v>
      </c>
      <c r="E9">
        <f>'PMF c0 round1-3'!E9</f>
        <v>259</v>
      </c>
      <c r="F9">
        <f>'PMF c0 round1-3'!F9</f>
        <v>259</v>
      </c>
    </row>
    <row r="10" spans="1:6" x14ac:dyDescent="0.2">
      <c r="A10" t="str">
        <f>'PMF c0 round1-3'!A10</f>
        <v xml:space="preserve">INTER_PK8 </v>
      </c>
      <c r="B10">
        <f>'PMF c0 round1-3'!B10</f>
        <v>0</v>
      </c>
      <c r="C10">
        <f>'PMF c0 round1-3'!C10</f>
        <v>259</v>
      </c>
      <c r="D10">
        <f>'PMF c0 round1-3'!D10</f>
        <v>260</v>
      </c>
      <c r="E10">
        <f>'PMF c0 round1-3'!E10</f>
        <v>261</v>
      </c>
      <c r="F10">
        <f>'PMF c0 round1-3'!F10</f>
        <v>262</v>
      </c>
    </row>
    <row r="11" spans="1:6" x14ac:dyDescent="0.2">
      <c r="A11" t="str">
        <f>'PMF c0 round1-3'!A11</f>
        <v xml:space="preserve">SEL_PK8 </v>
      </c>
      <c r="B11">
        <f>'PMF c0 round1-3'!B11</f>
        <v>0</v>
      </c>
      <c r="C11">
        <f>'PMF c0 round1-3'!C11</f>
        <v>262</v>
      </c>
      <c r="D11">
        <f>'PMF c0 round1-3'!D11</f>
        <v>263</v>
      </c>
      <c r="E11">
        <f>'PMF c0 round1-3'!E11</f>
        <v>264</v>
      </c>
      <c r="F11">
        <f>'PMF c0 round1-3'!F11</f>
        <v>268</v>
      </c>
    </row>
    <row r="12" spans="1:6" x14ac:dyDescent="0.2">
      <c r="A12" t="str">
        <f>'PMF c0 round1-3'!A12</f>
        <v xml:space="preserve">PMF_M8_1_c </v>
      </c>
      <c r="B12">
        <f>'PMF c0 round1-3'!B12</f>
        <v>281</v>
      </c>
      <c r="C12">
        <f>'PMF c0 round1-3'!C12</f>
        <v>283</v>
      </c>
      <c r="D12">
        <f>'PMF c0 round1-3'!D12</f>
        <v>291</v>
      </c>
      <c r="E12" s="40">
        <f>'PMF c0 round1-3'!E12+2</f>
        <v>297</v>
      </c>
      <c r="F12" s="40">
        <f>'PMF c0 round1-3'!F12+2</f>
        <v>301</v>
      </c>
    </row>
    <row r="13" spans="1:6" x14ac:dyDescent="0.2">
      <c r="A13" t="str">
        <f>'PMF c0 round1-3'!A13</f>
        <v xml:space="preserve">TQITQ_M8 </v>
      </c>
      <c r="B13">
        <f>'PMF c0 round1-3'!B13</f>
        <v>0</v>
      </c>
      <c r="C13">
        <f>'PMF c0 round1-3'!C13</f>
        <v>295</v>
      </c>
      <c r="D13">
        <f>'PMF c0 round1-3'!D13</f>
        <v>295</v>
      </c>
      <c r="E13">
        <f>'PMF c0 round1-3'!E13</f>
        <v>314</v>
      </c>
      <c r="F13">
        <f>'PMF c0 round1-3'!F13</f>
        <v>314</v>
      </c>
    </row>
    <row r="14" spans="1:6" x14ac:dyDescent="0.2">
      <c r="A14" t="str">
        <f>'PMF c0 round1-3'!A14</f>
        <v xml:space="preserve">INTER_PK8 </v>
      </c>
      <c r="B14">
        <f>'PMF c0 round1-3'!B14</f>
        <v>0</v>
      </c>
      <c r="C14">
        <f>'PMF c0 round1-3'!C14</f>
        <v>314</v>
      </c>
      <c r="D14">
        <f>'PMF c0 round1-3'!D14</f>
        <v>315</v>
      </c>
      <c r="E14">
        <f>'PMF c0 round1-3'!E14</f>
        <v>316</v>
      </c>
      <c r="F14">
        <f>'PMF c0 round1-3'!F14</f>
        <v>317</v>
      </c>
    </row>
    <row r="15" spans="1:6" x14ac:dyDescent="0.2">
      <c r="A15" t="str">
        <f>'PMF c0 round1-3'!A15</f>
        <v xml:space="preserve">SEL_PK8 </v>
      </c>
      <c r="B15">
        <f>'PMF c0 round1-3'!B15</f>
        <v>0</v>
      </c>
      <c r="C15">
        <f>'PMF c0 round1-3'!C15</f>
        <v>317</v>
      </c>
      <c r="D15">
        <f>'PMF c0 round1-3'!D15</f>
        <v>318</v>
      </c>
      <c r="E15">
        <f>'PMF c0 round1-3'!E15</f>
        <v>319</v>
      </c>
      <c r="F15">
        <f>'PMF c0 round1-3'!F15</f>
        <v>323</v>
      </c>
    </row>
    <row r="16" spans="1:6" x14ac:dyDescent="0.2">
      <c r="A16" t="str">
        <f>'PMF c0 round1-3'!A16</f>
        <v xml:space="preserve">PMF_M8_2_c </v>
      </c>
      <c r="B16">
        <f>'PMF c0 round1-3'!B16</f>
        <v>323</v>
      </c>
      <c r="C16">
        <f>'PMF c0 round1-3'!C16</f>
        <v>325</v>
      </c>
      <c r="D16">
        <f>'PMF c0 round1-3'!D16</f>
        <v>333</v>
      </c>
      <c r="E16" s="40">
        <f>'PMF c0 round1-3'!E16+1</f>
        <v>338</v>
      </c>
      <c r="F16" s="40">
        <f>'PMF c0 round1-3'!F16+1</f>
        <v>342</v>
      </c>
    </row>
    <row r="17" spans="1:6" x14ac:dyDescent="0.2">
      <c r="A17" t="str">
        <f>'PMF c0 round1-3'!A17</f>
        <v xml:space="preserve">TQITQ_M8 </v>
      </c>
      <c r="B17">
        <f>'PMF c0 round1-3'!B17</f>
        <v>0</v>
      </c>
      <c r="C17">
        <f>'PMF c0 round1-3'!C17</f>
        <v>337</v>
      </c>
      <c r="D17">
        <f>'PMF c0 round1-3'!D17</f>
        <v>337</v>
      </c>
      <c r="E17">
        <f>'PMF c0 round1-3'!E17</f>
        <v>356</v>
      </c>
      <c r="F17">
        <f>'PMF c0 round1-3'!F17</f>
        <v>356</v>
      </c>
    </row>
    <row r="18" spans="1:6" x14ac:dyDescent="0.2">
      <c r="A18" t="str">
        <f>'PMF c0 round1-3'!A18</f>
        <v xml:space="preserve">INTER_PK8 </v>
      </c>
      <c r="B18">
        <f>'PMF c0 round1-3'!B18</f>
        <v>0</v>
      </c>
      <c r="C18">
        <f>'PMF c0 round1-3'!C18</f>
        <v>356</v>
      </c>
      <c r="D18">
        <f>'PMF c0 round1-3'!D18</f>
        <v>357</v>
      </c>
      <c r="E18">
        <f>'PMF c0 round1-3'!E18</f>
        <v>358</v>
      </c>
      <c r="F18">
        <f>'PMF c0 round1-3'!F18</f>
        <v>359</v>
      </c>
    </row>
    <row r="19" spans="1:6" x14ac:dyDescent="0.2">
      <c r="A19" t="str">
        <f>'PMF c0 round1-3'!A19</f>
        <v xml:space="preserve">SEL_PK8 </v>
      </c>
      <c r="B19">
        <f>'PMF c0 round1-3'!B19</f>
        <v>0</v>
      </c>
      <c r="C19">
        <f>'PMF c0 round1-3'!C19</f>
        <v>359</v>
      </c>
      <c r="D19">
        <f>'PMF c0 round1-3'!D19</f>
        <v>360</v>
      </c>
      <c r="E19">
        <f>'PMF c0 round1-3'!E19</f>
        <v>361</v>
      </c>
      <c r="F19">
        <f>'PMF c0 round1-3'!F19</f>
        <v>365</v>
      </c>
    </row>
    <row r="20" spans="1:6" x14ac:dyDescent="0.2">
      <c r="A20" t="str">
        <f>'PMF c0 round1-3'!A20</f>
        <v xml:space="preserve">PMF_M8_3_c </v>
      </c>
      <c r="B20">
        <f>'PMF c0 round1-3'!B20</f>
        <v>365</v>
      </c>
      <c r="C20">
        <f>'PMF c0 round1-3'!C20</f>
        <v>367</v>
      </c>
      <c r="D20">
        <f>'PMF c0 round1-3'!D20</f>
        <v>375</v>
      </c>
      <c r="E20" s="41">
        <f>'PMF c0 round1-3'!E20+5</f>
        <v>384</v>
      </c>
      <c r="F20" s="41">
        <f>'PMF c0 round1-3'!F20+5</f>
        <v>388</v>
      </c>
    </row>
    <row r="21" spans="1:6" x14ac:dyDescent="0.2">
      <c r="A21" t="str">
        <f>'PMF c0 round1-3'!A21</f>
        <v xml:space="preserve">TQITQ_F8 </v>
      </c>
      <c r="B21">
        <f>'PMF c0 round1-3'!B21</f>
        <v>0</v>
      </c>
      <c r="C21">
        <f>'PMF c0 round1-3'!C21</f>
        <v>379</v>
      </c>
      <c r="D21">
        <f>'PMF c0 round1-3'!D21</f>
        <v>379</v>
      </c>
      <c r="E21">
        <f>'PMF c0 round1-3'!E21</f>
        <v>398</v>
      </c>
      <c r="F21">
        <f>'PMF c0 round1-3'!F21</f>
        <v>398</v>
      </c>
    </row>
    <row r="22" spans="1:6" x14ac:dyDescent="0.2">
      <c r="A22" t="str">
        <f>'PMF c0 round1-3'!A22</f>
        <v xml:space="preserve">INTER_PK8 </v>
      </c>
      <c r="B22">
        <f>'PMF c0 round1-3'!B22</f>
        <v>0</v>
      </c>
      <c r="C22">
        <f>'PMF c0 round1-3'!C22</f>
        <v>398</v>
      </c>
      <c r="D22">
        <f>'PMF c0 round1-3'!D22</f>
        <v>399</v>
      </c>
      <c r="E22">
        <f>'PMF c0 round1-3'!E22</f>
        <v>400</v>
      </c>
      <c r="F22">
        <f>'PMF c0 round1-3'!F22</f>
        <v>401</v>
      </c>
    </row>
    <row r="23" spans="1:6" x14ac:dyDescent="0.2">
      <c r="A23" t="str">
        <f>'PMF c0 round1-3'!A23</f>
        <v xml:space="preserve">SEL_PK8 </v>
      </c>
      <c r="B23">
        <f>'PMF c0 round1-3'!B23</f>
        <v>0</v>
      </c>
      <c r="C23">
        <f>'PMF c0 round1-3'!C23</f>
        <v>401</v>
      </c>
      <c r="D23">
        <f>'PMF c0 round1-3'!D23</f>
        <v>402</v>
      </c>
      <c r="E23">
        <f>'PMF c0 round1-3'!E23</f>
        <v>403</v>
      </c>
      <c r="F23">
        <f>'PMF c0 round1-3'!F23</f>
        <v>407</v>
      </c>
    </row>
    <row r="24" spans="1:6" x14ac:dyDescent="0.2">
      <c r="A24" t="str">
        <f>'PMF c0 round1-3'!A24</f>
        <v>PMF_M8_1_a</v>
      </c>
      <c r="B24">
        <f>'PMF c0 round1-3'!B24</f>
        <v>234</v>
      </c>
      <c r="C24">
        <f>'PMF c0 round1-3'!C24</f>
        <v>236</v>
      </c>
      <c r="D24">
        <f>'PMF c0 round1-3'!D24</f>
        <v>244</v>
      </c>
      <c r="E24" s="40">
        <f>'PMF c0 round1-3'!E24+2</f>
        <v>250</v>
      </c>
      <c r="F24" s="40">
        <f>'PMF c0 round1-3'!F24+2</f>
        <v>254</v>
      </c>
    </row>
    <row r="25" spans="1:6" x14ac:dyDescent="0.2">
      <c r="A25" t="str">
        <f>'PMF c0 round1-3'!A25</f>
        <v xml:space="preserve">PMF_M8_1_b </v>
      </c>
      <c r="B25">
        <f>'PMF c0 round1-3'!B25</f>
        <v>242</v>
      </c>
      <c r="C25">
        <f>'PMF c0 round1-3'!C25</f>
        <v>244</v>
      </c>
      <c r="D25">
        <f>'PMF c0 round1-3'!D25</f>
        <v>252</v>
      </c>
      <c r="E25" s="40">
        <f>'PMF c0 round1-3'!E25+2</f>
        <v>258</v>
      </c>
      <c r="F25" s="40">
        <f>'PMF c0 round1-3'!F25+2</f>
        <v>262</v>
      </c>
    </row>
    <row r="26" spans="1:6" x14ac:dyDescent="0.2">
      <c r="A26" t="str">
        <f>'PMF c0 round1-3'!A26</f>
        <v xml:space="preserve">PMF_F8_1 </v>
      </c>
      <c r="B26">
        <f>'PMF c0 round1-3'!B26</f>
        <v>250</v>
      </c>
      <c r="C26">
        <f>'PMF c0 round1-3'!C26</f>
        <v>252</v>
      </c>
      <c r="D26">
        <f>'PMF c0 round1-3'!D26</f>
        <v>260</v>
      </c>
      <c r="E26" s="40">
        <f>'PMF c0 round1-3'!E26+2</f>
        <v>266</v>
      </c>
      <c r="F26" s="40">
        <f>'PMF c0 round1-3'!F26+2</f>
        <v>270</v>
      </c>
    </row>
    <row r="27" spans="1:6" x14ac:dyDescent="0.2">
      <c r="A27" t="str">
        <f>'PMF c0 round1-3'!A27</f>
        <v>PMF_F8_2</v>
      </c>
      <c r="B27">
        <f>'PMF c0 round1-3'!B27</f>
        <v>305</v>
      </c>
      <c r="C27">
        <f>'PMF c0 round1-3'!C27</f>
        <v>307</v>
      </c>
      <c r="D27">
        <f>'PMF c0 round1-3'!D27</f>
        <v>315</v>
      </c>
      <c r="E27" s="40">
        <f>'PMF c0 round1-3'!E27+2</f>
        <v>321</v>
      </c>
      <c r="F27" s="40">
        <f>'PMF c0 round1-3'!F27+2</f>
        <v>325</v>
      </c>
    </row>
    <row r="28" spans="1:6" x14ac:dyDescent="0.2">
      <c r="A28" t="str">
        <f>'PMF c0 round1-3'!A28</f>
        <v>PMF_M8_2_a</v>
      </c>
      <c r="B28">
        <f>'PMF c0 round1-3'!B28</f>
        <v>289</v>
      </c>
      <c r="C28">
        <f>'PMF c0 round1-3'!C28</f>
        <v>291</v>
      </c>
      <c r="D28">
        <f>'PMF c0 round1-3'!D28</f>
        <v>299</v>
      </c>
      <c r="E28" s="40">
        <f>'PMF c0 round1-3'!E28+2</f>
        <v>305</v>
      </c>
      <c r="F28" s="40">
        <f>'PMF c0 round1-3'!F28+2</f>
        <v>309</v>
      </c>
    </row>
    <row r="29" spans="1:6" x14ac:dyDescent="0.2">
      <c r="A29" t="str">
        <f>'PMF c0 round1-3'!A29</f>
        <v xml:space="preserve">PMF_M8_2_b </v>
      </c>
      <c r="B29">
        <f>'PMF c0 round1-3'!B29</f>
        <v>297</v>
      </c>
      <c r="C29">
        <f>'PMF c0 round1-3'!C29</f>
        <v>299</v>
      </c>
      <c r="D29">
        <f>'PMF c0 round1-3'!D29</f>
        <v>307</v>
      </c>
      <c r="E29" s="40">
        <f>'PMF c0 round1-3'!E29+2</f>
        <v>313</v>
      </c>
      <c r="F29" s="40">
        <f>'PMF c0 round1-3'!F29+2</f>
        <v>317</v>
      </c>
    </row>
    <row r="30" spans="1:6" x14ac:dyDescent="0.2">
      <c r="A30" t="str">
        <f>'PMF c0 round1-3'!A30</f>
        <v>PMF_F16_1</v>
      </c>
      <c r="B30">
        <f>'PMF c0 round1-3'!B30</f>
        <v>258</v>
      </c>
      <c r="C30">
        <f>'PMF c0 round1-3'!C30</f>
        <v>260</v>
      </c>
      <c r="D30">
        <f>'PMF c0 round1-3'!D30</f>
        <v>283</v>
      </c>
      <c r="E30">
        <f>'PMF c0 round1-3'!E30</f>
        <v>275</v>
      </c>
      <c r="F30">
        <f>'PMF c0 round1-3'!F30</f>
        <v>291</v>
      </c>
    </row>
    <row r="31" spans="1:6" x14ac:dyDescent="0.2">
      <c r="A31" t="str">
        <f>'PMF c0 round1-3'!A31</f>
        <v>PMF_M8_3_a</v>
      </c>
      <c r="B31">
        <f>'PMF c0 round1-3'!B31</f>
        <v>331</v>
      </c>
      <c r="C31">
        <f>'PMF c0 round1-3'!C31</f>
        <v>333</v>
      </c>
      <c r="D31">
        <f>'PMF c0 round1-3'!D31</f>
        <v>341</v>
      </c>
      <c r="E31" s="40">
        <f>'PMF c0 round1-3'!E31+2</f>
        <v>347</v>
      </c>
      <c r="F31" s="40">
        <f>'PMF c0 round1-3'!F31+2</f>
        <v>351</v>
      </c>
    </row>
    <row r="32" spans="1:6" x14ac:dyDescent="0.2">
      <c r="A32" t="str">
        <f>'PMF c0 round1-3'!A32</f>
        <v xml:space="preserve">PMF_M8_3_b </v>
      </c>
      <c r="B32">
        <f>'PMF c0 round1-3'!B32</f>
        <v>339</v>
      </c>
      <c r="C32">
        <f>'PMF c0 round1-3'!C32</f>
        <v>341</v>
      </c>
      <c r="D32">
        <f>'PMF c0 round1-3'!D32</f>
        <v>349</v>
      </c>
      <c r="E32" s="40">
        <f>'PMF c0 round1-3'!E32+2</f>
        <v>355</v>
      </c>
      <c r="F32" s="40">
        <f>'PMF c0 round1-3'!F32+2</f>
        <v>359</v>
      </c>
    </row>
    <row r="33" spans="1:6" x14ac:dyDescent="0.2">
      <c r="A33" t="str">
        <f>'PMF c0 round1-3'!A33</f>
        <v xml:space="preserve">PMF_F8_3 </v>
      </c>
      <c r="B33">
        <f>'PMF c0 round1-3'!B33</f>
        <v>347</v>
      </c>
      <c r="C33">
        <f>'PMF c0 round1-3'!C33</f>
        <v>349</v>
      </c>
      <c r="D33">
        <f>'PMF c0 round1-3'!D33</f>
        <v>357</v>
      </c>
      <c r="E33" s="40">
        <f>'PMF c0 round1-3'!E33+2</f>
        <v>363</v>
      </c>
      <c r="F33" s="40">
        <f>'PMF c0 round1-3'!F33+2</f>
        <v>367</v>
      </c>
    </row>
    <row r="34" spans="1:6" x14ac:dyDescent="0.2">
      <c r="A34">
        <f>'PMF c0 round1-3'!A34</f>
        <v>0</v>
      </c>
      <c r="B34">
        <f>'PMF c0 round1-3'!B34</f>
        <v>0</v>
      </c>
      <c r="C34">
        <f>'PMF c0 round1-3'!C34</f>
        <v>0</v>
      </c>
      <c r="D34">
        <f>'PMF c0 round1-3'!D34</f>
        <v>0</v>
      </c>
      <c r="E34">
        <f>'PMF c0 round1-3'!E34</f>
        <v>0</v>
      </c>
      <c r="F34">
        <f>'PMF c0 round1-3'!F34</f>
        <v>0</v>
      </c>
    </row>
    <row r="35" spans="1:6" x14ac:dyDescent="0.2">
      <c r="A35">
        <f>'PMF c0 round1-3'!A35</f>
        <v>0</v>
      </c>
      <c r="B35">
        <f>'PMF c0 round1-3'!B35</f>
        <v>0</v>
      </c>
      <c r="C35">
        <f>'PMF c0 round1-3'!C35</f>
        <v>0</v>
      </c>
      <c r="D35">
        <f>'PMF c0 round1-3'!D35</f>
        <v>0</v>
      </c>
      <c r="E35">
        <f>'PMF c0 round1-3'!E35</f>
        <v>0</v>
      </c>
      <c r="F35">
        <f>'PMF c0 round1-3'!F35</f>
        <v>0</v>
      </c>
    </row>
    <row r="36" spans="1:6" x14ac:dyDescent="0.2">
      <c r="A36">
        <f>'PMF c0 round1-3'!A36</f>
        <v>0</v>
      </c>
      <c r="B36">
        <f>'PMF c0 round1-3'!B36</f>
        <v>0</v>
      </c>
      <c r="C36">
        <f>'PMF c0 round1-3'!C36</f>
        <v>0</v>
      </c>
      <c r="D36">
        <f>'PMF c0 round1-3'!D36</f>
        <v>0</v>
      </c>
      <c r="E36">
        <f>'PMF c0 round1-3'!E36</f>
        <v>0</v>
      </c>
      <c r="F36">
        <f>'PMF c0 round1-3'!F36</f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722B-E97D-444F-8BBA-4F33D9EFBAF8}">
  <dimension ref="A1:AB33"/>
  <sheetViews>
    <sheetView workbookViewId="0">
      <selection activeCell="E40" sqref="E40"/>
    </sheetView>
  </sheetViews>
  <sheetFormatPr defaultRowHeight="14.25" x14ac:dyDescent="0.2"/>
  <cols>
    <col min="1" max="1" width="21.5" customWidth="1"/>
    <col min="3" max="3" width="10.625" customWidth="1"/>
  </cols>
  <sheetData>
    <row r="1" spans="1:28" x14ac:dyDescent="0.2">
      <c r="A1" t="s">
        <v>0</v>
      </c>
      <c r="B1" t="s">
        <v>52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v0!A84</f>
        <v>Yread latancy</v>
      </c>
      <c r="Q1" t="str">
        <f>v0!B84</f>
        <v>8x8 input cc</v>
      </c>
      <c r="R1" t="str">
        <f>v0!C84</f>
        <v>8x8 work cc</v>
      </c>
      <c r="S1" t="str">
        <f>v0!D84</f>
        <v>8x8 output cc</v>
      </c>
      <c r="U1" t="str">
        <f>v0!G76</f>
        <v>tqitq8x8 input</v>
      </c>
      <c r="V1" t="str">
        <f>v0!H76</f>
        <v>tqitq work</v>
      </c>
      <c r="W1" t="str">
        <f>v0!I76</f>
        <v>tqitq out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v0!A85</f>
        <v>2</v>
      </c>
      <c r="Q2">
        <f>v0!B85</f>
        <v>8</v>
      </c>
      <c r="R2">
        <f>v0!C85</f>
        <v>4</v>
      </c>
      <c r="S2">
        <f>v0!D85</f>
        <v>4</v>
      </c>
      <c r="U2">
        <f>v0!G77</f>
        <v>0</v>
      </c>
      <c r="V2">
        <f>v0!H77</f>
        <v>19</v>
      </c>
      <c r="W2">
        <f>v0!I77</f>
        <v>0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29</v>
      </c>
      <c r="B5">
        <v>202</v>
      </c>
      <c r="C5">
        <f>B5+$P$2</f>
        <v>204</v>
      </c>
      <c r="D5">
        <f>C5+$Q$2</f>
        <v>212</v>
      </c>
      <c r="E5">
        <f>D5+$R$2</f>
        <v>216</v>
      </c>
      <c r="F5">
        <f>E5+$S$2</f>
        <v>220</v>
      </c>
    </row>
    <row r="6" spans="1:28" x14ac:dyDescent="0.2">
      <c r="A6" t="s">
        <v>30</v>
      </c>
      <c r="B6">
        <f>B5+8</f>
        <v>210</v>
      </c>
      <c r="C6">
        <f t="shared" ref="C6:C8" si="0">B6+$P$2</f>
        <v>212</v>
      </c>
      <c r="D6">
        <f t="shared" ref="D6:D8" si="1">C6+$Q$2</f>
        <v>220</v>
      </c>
      <c r="E6">
        <f t="shared" ref="E6:E8" si="2">D6+$R$2</f>
        <v>224</v>
      </c>
      <c r="F6">
        <f t="shared" ref="F6:F8" si="3">E6+$S$2</f>
        <v>228</v>
      </c>
    </row>
    <row r="7" spans="1:28" x14ac:dyDescent="0.2">
      <c r="A7" t="s">
        <v>53</v>
      </c>
      <c r="B7">
        <f>B6+8</f>
        <v>218</v>
      </c>
      <c r="C7">
        <f>B7+$P$2</f>
        <v>220</v>
      </c>
      <c r="D7">
        <f>C7+$Q$2</f>
        <v>228</v>
      </c>
      <c r="E7">
        <f>D7+$R$2</f>
        <v>232</v>
      </c>
      <c r="F7">
        <f>E7+$S$2</f>
        <v>236</v>
      </c>
    </row>
    <row r="8" spans="1:28" x14ac:dyDescent="0.2">
      <c r="A8" t="s">
        <v>31</v>
      </c>
      <c r="B8">
        <f>D7-2</f>
        <v>226</v>
      </c>
      <c r="C8">
        <f t="shared" si="0"/>
        <v>228</v>
      </c>
      <c r="D8">
        <f t="shared" si="1"/>
        <v>236</v>
      </c>
      <c r="E8">
        <f t="shared" si="2"/>
        <v>240</v>
      </c>
      <c r="F8">
        <f t="shared" si="3"/>
        <v>244</v>
      </c>
    </row>
    <row r="9" spans="1:28" x14ac:dyDescent="0.2">
      <c r="A9" t="s">
        <v>48</v>
      </c>
      <c r="C9">
        <f>E8</f>
        <v>240</v>
      </c>
      <c r="D9">
        <f>C9+$U$2</f>
        <v>240</v>
      </c>
      <c r="E9">
        <f>D9+$V$2</f>
        <v>259</v>
      </c>
      <c r="F9">
        <f>E9+$W$2</f>
        <v>259</v>
      </c>
    </row>
    <row r="10" spans="1:28" x14ac:dyDescent="0.2">
      <c r="A10" t="s">
        <v>33</v>
      </c>
      <c r="C10">
        <f>F9</f>
        <v>259</v>
      </c>
      <c r="D10">
        <f>C10+$H$2</f>
        <v>260</v>
      </c>
      <c r="E10">
        <f>D10+$I$2</f>
        <v>261</v>
      </c>
      <c r="F10">
        <f>E10+$J$2</f>
        <v>262</v>
      </c>
    </row>
    <row r="11" spans="1:28" x14ac:dyDescent="0.2">
      <c r="A11" t="s">
        <v>34</v>
      </c>
      <c r="C11">
        <f>F10</f>
        <v>262</v>
      </c>
      <c r="D11">
        <f>C11+$L$2</f>
        <v>263</v>
      </c>
      <c r="E11">
        <f>D11+$M$2</f>
        <v>264</v>
      </c>
      <c r="F11">
        <f>E11+$N$2</f>
        <v>268</v>
      </c>
    </row>
    <row r="12" spans="1:28" x14ac:dyDescent="0.2">
      <c r="A12" t="s">
        <v>44</v>
      </c>
      <c r="B12">
        <f>D30-2</f>
        <v>281</v>
      </c>
      <c r="C12">
        <f>B12+$P$2</f>
        <v>283</v>
      </c>
      <c r="D12">
        <f>C12+$Q$2</f>
        <v>291</v>
      </c>
      <c r="E12">
        <f>D12+$R$2</f>
        <v>295</v>
      </c>
      <c r="F12">
        <f>E12+$S$2</f>
        <v>299</v>
      </c>
    </row>
    <row r="13" spans="1:28" x14ac:dyDescent="0.2">
      <c r="A13" t="s">
        <v>48</v>
      </c>
      <c r="C13">
        <f>E12</f>
        <v>295</v>
      </c>
      <c r="D13">
        <f>C13+$U$2</f>
        <v>295</v>
      </c>
      <c r="E13">
        <f>D13+$V$2</f>
        <v>314</v>
      </c>
      <c r="F13">
        <f>E13+$W$2</f>
        <v>314</v>
      </c>
    </row>
    <row r="14" spans="1:28" x14ac:dyDescent="0.2">
      <c r="A14" t="s">
        <v>33</v>
      </c>
      <c r="C14">
        <f>F13</f>
        <v>314</v>
      </c>
      <c r="D14">
        <f>C14+$H$2</f>
        <v>315</v>
      </c>
      <c r="E14">
        <f>D14+$I$2</f>
        <v>316</v>
      </c>
      <c r="F14">
        <f>E14+$J$2</f>
        <v>317</v>
      </c>
    </row>
    <row r="15" spans="1:28" x14ac:dyDescent="0.2">
      <c r="A15" t="s">
        <v>34</v>
      </c>
      <c r="C15">
        <f>F14</f>
        <v>317</v>
      </c>
      <c r="D15">
        <f>C15+$L$2</f>
        <v>318</v>
      </c>
      <c r="E15">
        <f>D15+$M$2</f>
        <v>319</v>
      </c>
      <c r="F15">
        <f>E15+$N$2</f>
        <v>323</v>
      </c>
    </row>
    <row r="16" spans="1:28" x14ac:dyDescent="0.2">
      <c r="A16" t="s">
        <v>38</v>
      </c>
      <c r="B16">
        <f>F15</f>
        <v>323</v>
      </c>
      <c r="C16">
        <f>B16+$P$2</f>
        <v>325</v>
      </c>
      <c r="D16">
        <f>C16+$Q$2</f>
        <v>333</v>
      </c>
      <c r="E16">
        <f>D16+$R$2</f>
        <v>337</v>
      </c>
      <c r="F16">
        <f>E16+$S$2</f>
        <v>341</v>
      </c>
    </row>
    <row r="17" spans="1:6" x14ac:dyDescent="0.2">
      <c r="A17" t="s">
        <v>37</v>
      </c>
      <c r="C17">
        <f>E16</f>
        <v>337</v>
      </c>
      <c r="D17">
        <f>C17+$U$2</f>
        <v>337</v>
      </c>
      <c r="E17">
        <f>D17+$V$2</f>
        <v>356</v>
      </c>
      <c r="F17">
        <f>E17+$W$2</f>
        <v>356</v>
      </c>
    </row>
    <row r="18" spans="1:6" x14ac:dyDescent="0.2">
      <c r="A18" t="s">
        <v>33</v>
      </c>
      <c r="C18">
        <f>F17</f>
        <v>356</v>
      </c>
      <c r="D18">
        <f>C18+$H$2</f>
        <v>357</v>
      </c>
      <c r="E18">
        <f>D18+$I$2</f>
        <v>358</v>
      </c>
      <c r="F18">
        <f>E18+$J$2</f>
        <v>359</v>
      </c>
    </row>
    <row r="19" spans="1:6" x14ac:dyDescent="0.2">
      <c r="A19" t="s">
        <v>34</v>
      </c>
      <c r="C19">
        <f>F18</f>
        <v>359</v>
      </c>
      <c r="D19">
        <f>C19+$L$2</f>
        <v>360</v>
      </c>
      <c r="E19">
        <f>D19+$M$2</f>
        <v>361</v>
      </c>
      <c r="F19">
        <f>E19+$N$2</f>
        <v>365</v>
      </c>
    </row>
    <row r="20" spans="1:6" x14ac:dyDescent="0.2">
      <c r="A20" t="s">
        <v>42</v>
      </c>
      <c r="B20">
        <f>F19</f>
        <v>365</v>
      </c>
      <c r="C20">
        <f>B20+$P$2</f>
        <v>367</v>
      </c>
      <c r="D20">
        <f>C20+$Q$2</f>
        <v>375</v>
      </c>
      <c r="E20">
        <f>D20+$R$2</f>
        <v>379</v>
      </c>
      <c r="F20">
        <f>E20+$S$2</f>
        <v>383</v>
      </c>
    </row>
    <row r="21" spans="1:6" x14ac:dyDescent="0.2">
      <c r="A21" t="s">
        <v>32</v>
      </c>
      <c r="C21">
        <f>E20</f>
        <v>379</v>
      </c>
      <c r="D21">
        <f>C21+$U$2</f>
        <v>379</v>
      </c>
      <c r="E21">
        <f>D21+$V$2</f>
        <v>398</v>
      </c>
      <c r="F21">
        <f>E21+$W$2</f>
        <v>398</v>
      </c>
    </row>
    <row r="22" spans="1:6" x14ac:dyDescent="0.2">
      <c r="A22" t="s">
        <v>33</v>
      </c>
      <c r="C22">
        <f>F21</f>
        <v>398</v>
      </c>
      <c r="D22">
        <f>C22+$H$2</f>
        <v>399</v>
      </c>
      <c r="E22">
        <f>D22+$I$2</f>
        <v>400</v>
      </c>
      <c r="F22">
        <f>E22+$J$2</f>
        <v>401</v>
      </c>
    </row>
    <row r="23" spans="1:6" x14ac:dyDescent="0.2">
      <c r="A23" t="s">
        <v>34</v>
      </c>
      <c r="C23">
        <f>F22</f>
        <v>401</v>
      </c>
      <c r="D23">
        <f>C23+$L$2</f>
        <v>402</v>
      </c>
      <c r="E23">
        <f>D23+$M$2</f>
        <v>403</v>
      </c>
      <c r="F23">
        <f>E23+$N$2</f>
        <v>407</v>
      </c>
    </row>
    <row r="24" spans="1:6" x14ac:dyDescent="0.2">
      <c r="A24" t="s">
        <v>43</v>
      </c>
      <c r="B24">
        <f>D8-2</f>
        <v>234</v>
      </c>
      <c r="C24">
        <f t="shared" ref="C24:C25" si="4">B24+$P$2</f>
        <v>236</v>
      </c>
      <c r="D24">
        <f t="shared" ref="D24:D25" si="5">C24+$Q$2</f>
        <v>244</v>
      </c>
      <c r="E24">
        <f t="shared" ref="E24:E25" si="6">D24+$R$2</f>
        <v>248</v>
      </c>
      <c r="F24">
        <f t="shared" ref="F24:F25" si="7">E24+$S$2</f>
        <v>252</v>
      </c>
    </row>
    <row r="25" spans="1:6" x14ac:dyDescent="0.2">
      <c r="A25" t="s">
        <v>35</v>
      </c>
      <c r="B25">
        <f>B24+8</f>
        <v>242</v>
      </c>
      <c r="C25">
        <f t="shared" si="4"/>
        <v>244</v>
      </c>
      <c r="D25">
        <f t="shared" si="5"/>
        <v>252</v>
      </c>
      <c r="E25">
        <f t="shared" si="6"/>
        <v>256</v>
      </c>
      <c r="F25">
        <f t="shared" si="7"/>
        <v>260</v>
      </c>
    </row>
    <row r="26" spans="1:6" x14ac:dyDescent="0.2">
      <c r="A26" t="s">
        <v>47</v>
      </c>
      <c r="B26">
        <f>B25+8</f>
        <v>250</v>
      </c>
      <c r="C26">
        <f>B26+$P$2</f>
        <v>252</v>
      </c>
      <c r="D26">
        <f>C26+$Q$2</f>
        <v>260</v>
      </c>
      <c r="E26">
        <f>D26+$R$2</f>
        <v>264</v>
      </c>
      <c r="F26">
        <f>E26+$S$2</f>
        <v>268</v>
      </c>
    </row>
    <row r="27" spans="1:6" x14ac:dyDescent="0.2">
      <c r="A27" t="s">
        <v>49</v>
      </c>
      <c r="B27">
        <f>D29-2</f>
        <v>305</v>
      </c>
      <c r="C27">
        <f>B27+$P$2</f>
        <v>307</v>
      </c>
      <c r="D27">
        <f>C27+$Q$2</f>
        <v>315</v>
      </c>
      <c r="E27">
        <f>D27+$R$2</f>
        <v>319</v>
      </c>
      <c r="F27">
        <f>E27+$S$2</f>
        <v>323</v>
      </c>
    </row>
    <row r="28" spans="1:6" x14ac:dyDescent="0.2">
      <c r="A28" t="s">
        <v>45</v>
      </c>
      <c r="B28">
        <f>B12+8</f>
        <v>289</v>
      </c>
      <c r="C28">
        <f>B28+$P$2</f>
        <v>291</v>
      </c>
      <c r="D28">
        <f>C28+$Q$2</f>
        <v>299</v>
      </c>
      <c r="E28">
        <f>D28+$R$2</f>
        <v>303</v>
      </c>
      <c r="F28">
        <f>E28+$S$2</f>
        <v>307</v>
      </c>
    </row>
    <row r="29" spans="1:6" x14ac:dyDescent="0.2">
      <c r="A29" t="s">
        <v>46</v>
      </c>
      <c r="B29">
        <f>B28+8</f>
        <v>297</v>
      </c>
      <c r="C29">
        <f>B29+$P$2</f>
        <v>299</v>
      </c>
      <c r="D29">
        <f>C29+$Q$2</f>
        <v>307</v>
      </c>
      <c r="E29">
        <f>D29+$R$2</f>
        <v>311</v>
      </c>
      <c r="F29">
        <f>E29+$S$2</f>
        <v>315</v>
      </c>
    </row>
    <row r="30" spans="1:6" x14ac:dyDescent="0.2">
      <c r="A30" t="s">
        <v>497</v>
      </c>
      <c r="B30">
        <f>D26-2</f>
        <v>258</v>
      </c>
      <c r="C30">
        <f>B30+$Y$2</f>
        <v>260</v>
      </c>
      <c r="D30">
        <f>C30+$Z$2</f>
        <v>283</v>
      </c>
      <c r="E30" s="43">
        <f>D30+$AA$2</f>
        <v>275</v>
      </c>
      <c r="F30" s="43">
        <f>E30+$AB$2</f>
        <v>291</v>
      </c>
    </row>
    <row r="31" spans="1:6" x14ac:dyDescent="0.2">
      <c r="A31" t="s">
        <v>39</v>
      </c>
      <c r="B31">
        <f>D16-2</f>
        <v>331</v>
      </c>
      <c r="C31">
        <f>B31+$P$2</f>
        <v>333</v>
      </c>
      <c r="D31">
        <f>C31+$Q$2</f>
        <v>341</v>
      </c>
      <c r="E31">
        <f>D31+$R$2</f>
        <v>345</v>
      </c>
      <c r="F31">
        <f>E31+$S$2</f>
        <v>349</v>
      </c>
    </row>
    <row r="32" spans="1:6" x14ac:dyDescent="0.2">
      <c r="A32" t="s">
        <v>40</v>
      </c>
      <c r="B32">
        <f>B31+8</f>
        <v>339</v>
      </c>
      <c r="C32">
        <f>B32+$P$2</f>
        <v>341</v>
      </c>
      <c r="D32">
        <f>C32+$Q$2</f>
        <v>349</v>
      </c>
      <c r="E32">
        <f>D32+$R$2</f>
        <v>353</v>
      </c>
      <c r="F32">
        <f>E32+$S$2</f>
        <v>357</v>
      </c>
    </row>
    <row r="33" spans="1:6" x14ac:dyDescent="0.2">
      <c r="A33" t="s">
        <v>41</v>
      </c>
      <c r="B33">
        <f>D32-2</f>
        <v>347</v>
      </c>
      <c r="C33">
        <f>B33+$P$2</f>
        <v>349</v>
      </c>
      <c r="D33">
        <f>C33+$Q$2</f>
        <v>357</v>
      </c>
      <c r="E33">
        <f>D33+$R$2</f>
        <v>361</v>
      </c>
      <c r="F33">
        <f>E33+$S$2</f>
        <v>365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32D1-4B94-487D-B28D-6E027395071B}">
  <dimension ref="A1:AB20"/>
  <sheetViews>
    <sheetView topLeftCell="D1" workbookViewId="0">
      <selection activeCell="Q40" sqref="Q40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8" x14ac:dyDescent="0.2">
      <c r="A1" t="s">
        <v>0</v>
      </c>
      <c r="B1" t="s">
        <v>151</v>
      </c>
      <c r="P1" t="str">
        <f>v0!A80</f>
        <v>Yread latancy</v>
      </c>
      <c r="Q1" t="str">
        <f>v0!B80</f>
        <v>32x32 input cc</v>
      </c>
      <c r="R1" t="str">
        <f>v0!C80</f>
        <v>32x32 work cc</v>
      </c>
      <c r="S1" t="str">
        <f>v0!D80</f>
        <v>32x32 output cc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P2">
        <f>v0!A98</f>
        <v>0</v>
      </c>
      <c r="Q2">
        <f>v0!B98</f>
        <v>0</v>
      </c>
      <c r="R2">
        <f>v0!C98</f>
        <v>0</v>
      </c>
      <c r="S2">
        <f>v0!D98</f>
        <v>0</v>
      </c>
      <c r="Y2">
        <f>v0!A100</f>
        <v>0</v>
      </c>
      <c r="Z2">
        <f>v0!B100</f>
        <v>0</v>
      </c>
      <c r="AA2">
        <f>v0!C100</f>
        <v>0</v>
      </c>
      <c r="AB2">
        <f>v0!D100</f>
        <v>0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176</v>
      </c>
      <c r="B5">
        <v>0</v>
      </c>
      <c r="C5">
        <f>B5+$Y$2</f>
        <v>0</v>
      </c>
      <c r="D5">
        <f>C5+$Z$2</f>
        <v>0</v>
      </c>
      <c r="E5">
        <f>'PMF c0 round0'!F31</f>
        <v>89</v>
      </c>
      <c r="F5">
        <f>E5+$AB$2</f>
        <v>89</v>
      </c>
    </row>
    <row r="6" spans="1:28" x14ac:dyDescent="0.2">
      <c r="A6" t="s">
        <v>177</v>
      </c>
      <c r="B6">
        <f t="shared" ref="B6" si="0">D5-2</f>
        <v>-2</v>
      </c>
      <c r="C6">
        <f>B6+$Y$2</f>
        <v>-2</v>
      </c>
      <c r="D6">
        <f>C6+$Z$2</f>
        <v>-2</v>
      </c>
      <c r="E6">
        <f>F5</f>
        <v>89</v>
      </c>
      <c r="F6">
        <f>E6+$AB$2</f>
        <v>89</v>
      </c>
    </row>
    <row r="7" spans="1:28" x14ac:dyDescent="0.2">
      <c r="A7" t="s">
        <v>299</v>
      </c>
      <c r="B7">
        <f>D6-2</f>
        <v>-4</v>
      </c>
      <c r="C7">
        <f>B7+$P$2</f>
        <v>-4</v>
      </c>
      <c r="D7">
        <f>C7+$Q$2</f>
        <v>-4</v>
      </c>
      <c r="E7">
        <f>D7+$R$2</f>
        <v>-4</v>
      </c>
      <c r="F7">
        <f>E7+$S$2</f>
        <v>-4</v>
      </c>
    </row>
    <row r="8" spans="1:28" x14ac:dyDescent="0.2">
      <c r="A8" t="s">
        <v>300</v>
      </c>
      <c r="B8">
        <f>D7-2</f>
        <v>-6</v>
      </c>
      <c r="C8">
        <f>B8+$P$2</f>
        <v>-6</v>
      </c>
      <c r="D8">
        <f>C8+$Q$2</f>
        <v>-6</v>
      </c>
      <c r="E8">
        <f>D8+$R$2</f>
        <v>-6</v>
      </c>
      <c r="F8">
        <f>E8+$S$2</f>
        <v>-6</v>
      </c>
    </row>
    <row r="12" spans="1:28" x14ac:dyDescent="0.2">
      <c r="E12" s="40"/>
      <c r="F12" s="40"/>
    </row>
    <row r="16" spans="1:28" x14ac:dyDescent="0.2">
      <c r="E16" s="40"/>
      <c r="F16" s="40"/>
    </row>
    <row r="17" spans="1:11" s="1" customFormat="1" x14ac:dyDescent="0.2">
      <c r="A17"/>
      <c r="B17"/>
      <c r="C17"/>
      <c r="D17"/>
      <c r="E17" s="40"/>
      <c r="F17" s="40"/>
      <c r="H17"/>
      <c r="I17"/>
      <c r="J17"/>
      <c r="K17"/>
    </row>
    <row r="19" spans="1:11" x14ac:dyDescent="0.2">
      <c r="A19" s="1"/>
      <c r="B19" s="1"/>
      <c r="C19" s="1"/>
      <c r="D19" s="1"/>
      <c r="E19" s="1"/>
      <c r="F19" s="1"/>
    </row>
    <row r="20" spans="1:11" x14ac:dyDescent="0.2">
      <c r="A20" s="1"/>
      <c r="B20" s="1"/>
      <c r="C20" s="1"/>
      <c r="D20" s="1"/>
      <c r="E20" s="1"/>
      <c r="F2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E35D-8E9C-49DD-90BB-C1E547C10ACE}">
  <dimension ref="A1:AB15"/>
  <sheetViews>
    <sheetView tabSelected="1" topLeftCell="D1" zoomScale="115" zoomScaleNormal="115" workbookViewId="0">
      <selection activeCell="R23" sqref="R23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8" x14ac:dyDescent="0.2">
      <c r="A1" t="s">
        <v>0</v>
      </c>
      <c r="B1" t="s">
        <v>188</v>
      </c>
      <c r="P1" t="str">
        <f>v0!A80</f>
        <v>Yread latancy</v>
      </c>
      <c r="Q1" t="str">
        <f>v0!B80</f>
        <v>32x32 input cc</v>
      </c>
      <c r="R1" t="str">
        <f>v0!C80</f>
        <v>32x32 work cc</v>
      </c>
      <c r="S1" t="str">
        <f>v0!D80</f>
        <v>32x32 output cc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P2">
        <f>v0!A81</f>
        <v>2</v>
      </c>
      <c r="Q2">
        <f>v0!B81</f>
        <v>78</v>
      </c>
      <c r="R2">
        <f>v0!C81</f>
        <v>8</v>
      </c>
      <c r="S2">
        <f>v0!D81</f>
        <v>64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542</v>
      </c>
      <c r="B5">
        <f>'PMF c0 round1-3'!B8</f>
        <v>226</v>
      </c>
      <c r="C5">
        <f>B5+$Y$2</f>
        <v>228</v>
      </c>
      <c r="D5">
        <f>C5+$Z$2</f>
        <v>251</v>
      </c>
      <c r="E5" s="44">
        <f>'PMF c0 round1-3'!F30</f>
        <v>291</v>
      </c>
      <c r="F5" s="44">
        <f>E5+$AB$2</f>
        <v>307</v>
      </c>
    </row>
    <row r="6" spans="1:28" x14ac:dyDescent="0.2">
      <c r="A6" t="s">
        <v>180</v>
      </c>
      <c r="B6">
        <f t="shared" ref="B6" si="0">D5-2</f>
        <v>249</v>
      </c>
      <c r="C6">
        <f>B6+$Y$2</f>
        <v>251</v>
      </c>
      <c r="D6">
        <f>C6+$Z$2</f>
        <v>274</v>
      </c>
      <c r="E6" s="44">
        <f>F5</f>
        <v>307</v>
      </c>
      <c r="F6" s="44">
        <f>E6+$AB$2</f>
        <v>323</v>
      </c>
    </row>
    <row r="7" spans="1:28" x14ac:dyDescent="0.2">
      <c r="A7" t="s">
        <v>189</v>
      </c>
      <c r="B7">
        <f t="shared" ref="B7:B13" si="1">D6-2</f>
        <v>272</v>
      </c>
      <c r="C7">
        <f>B7+$P$2</f>
        <v>274</v>
      </c>
      <c r="D7">
        <f>C7+$Q$2</f>
        <v>352</v>
      </c>
      <c r="E7">
        <f>D7+$R$2</f>
        <v>360</v>
      </c>
      <c r="F7">
        <f>E7+$S$2</f>
        <v>424</v>
      </c>
    </row>
    <row r="8" spans="1:28" x14ac:dyDescent="0.2">
      <c r="A8" t="s">
        <v>543</v>
      </c>
      <c r="B8" s="42">
        <v>400</v>
      </c>
      <c r="C8">
        <f>B8+$Y$2</f>
        <v>402</v>
      </c>
      <c r="D8">
        <f>C8+$Z$2</f>
        <v>425</v>
      </c>
      <c r="E8" s="44">
        <f>F14</f>
        <v>491</v>
      </c>
      <c r="F8" s="44">
        <f>E8+$AB$2</f>
        <v>507</v>
      </c>
    </row>
    <row r="9" spans="1:28" x14ac:dyDescent="0.2">
      <c r="A9" t="s">
        <v>179</v>
      </c>
      <c r="B9">
        <f t="shared" si="1"/>
        <v>423</v>
      </c>
      <c r="C9">
        <f>B9+$Y$2</f>
        <v>425</v>
      </c>
      <c r="D9">
        <f>C9+$Z$2</f>
        <v>448</v>
      </c>
      <c r="E9" s="44">
        <f>F8</f>
        <v>507</v>
      </c>
      <c r="F9" s="44">
        <f>E9+$AB$2</f>
        <v>523</v>
      </c>
    </row>
    <row r="10" spans="1:28" x14ac:dyDescent="0.2">
      <c r="A10" t="s">
        <v>152</v>
      </c>
      <c r="B10" s="43">
        <f t="shared" si="1"/>
        <v>446</v>
      </c>
      <c r="C10">
        <f>B10+$P$2</f>
        <v>448</v>
      </c>
      <c r="D10">
        <f>C10+$Q$2</f>
        <v>526</v>
      </c>
      <c r="E10">
        <f>D10+$R$2</f>
        <v>534</v>
      </c>
      <c r="F10">
        <f>E10+$S$2</f>
        <v>598</v>
      </c>
    </row>
    <row r="11" spans="1:28" x14ac:dyDescent="0.2">
      <c r="A11" t="s">
        <v>153</v>
      </c>
      <c r="B11">
        <f t="shared" si="1"/>
        <v>524</v>
      </c>
      <c r="C11">
        <f>B11+$P$2</f>
        <v>526</v>
      </c>
      <c r="D11">
        <f>C11+$Q$2</f>
        <v>604</v>
      </c>
      <c r="E11">
        <f>D11+$R$2</f>
        <v>612</v>
      </c>
      <c r="F11">
        <f>E11+$S$2</f>
        <v>676</v>
      </c>
    </row>
    <row r="12" spans="1:28" x14ac:dyDescent="0.2">
      <c r="A12" t="s">
        <v>544</v>
      </c>
      <c r="B12" s="42">
        <f t="shared" si="1"/>
        <v>602</v>
      </c>
      <c r="C12">
        <f>B12+$Y$2</f>
        <v>604</v>
      </c>
      <c r="D12">
        <f>C12+$Z$2</f>
        <v>627</v>
      </c>
      <c r="E12">
        <f>F15</f>
        <v>691</v>
      </c>
      <c r="F12">
        <f>E12+$AB$2</f>
        <v>707</v>
      </c>
    </row>
    <row r="13" spans="1:28" x14ac:dyDescent="0.2">
      <c r="A13" t="s">
        <v>178</v>
      </c>
      <c r="B13">
        <f t="shared" si="1"/>
        <v>625</v>
      </c>
      <c r="C13">
        <f>B13+$Y$2</f>
        <v>627</v>
      </c>
      <c r="D13">
        <f>C13+$Z$2</f>
        <v>650</v>
      </c>
      <c r="E13">
        <f>F12</f>
        <v>707</v>
      </c>
      <c r="F13">
        <f>E13+$AB$2</f>
        <v>723</v>
      </c>
    </row>
    <row r="14" spans="1:28" x14ac:dyDescent="0.2">
      <c r="A14" t="s">
        <v>498</v>
      </c>
      <c r="E14">
        <v>475</v>
      </c>
      <c r="F14">
        <f>E14+$AB$2</f>
        <v>491</v>
      </c>
    </row>
    <row r="15" spans="1:28" x14ac:dyDescent="0.2">
      <c r="A15" t="s">
        <v>190</v>
      </c>
      <c r="E15">
        <v>675</v>
      </c>
      <c r="F15">
        <f>E15+$AB$2</f>
        <v>691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5626-4856-4809-BCBC-22045DDF3972}">
  <dimension ref="A1:AB34"/>
  <sheetViews>
    <sheetView workbookViewId="0">
      <selection activeCell="J35" sqref="J35"/>
    </sheetView>
  </sheetViews>
  <sheetFormatPr defaultRowHeight="14.25" x14ac:dyDescent="0.2"/>
  <cols>
    <col min="1" max="1" width="21.5" customWidth="1"/>
    <col min="3" max="3" width="10.625" customWidth="1"/>
    <col min="5" max="5" width="12.75" customWidth="1"/>
    <col min="16" max="16" width="10.75" customWidth="1"/>
    <col min="17" max="17" width="10.625" customWidth="1"/>
    <col min="18" max="18" width="11.25" customWidth="1"/>
  </cols>
  <sheetData>
    <row r="1" spans="1:28" x14ac:dyDescent="0.2">
      <c r="A1" t="s">
        <v>0</v>
      </c>
      <c r="B1" t="s">
        <v>149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v0!A92</f>
        <v>UVread latancy</v>
      </c>
      <c r="Q1" t="str">
        <f>v0!B92</f>
        <v>4x4 input cc</v>
      </c>
      <c r="R1" t="str">
        <f>v0!C92</f>
        <v>4x4 work cc</v>
      </c>
      <c r="S1" t="str">
        <f>v0!D92</f>
        <v>4x4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  <c r="Y1" t="str">
        <f>v0!A90</f>
        <v>UVread latancy</v>
      </c>
      <c r="Z1" t="str">
        <f>v0!B90</f>
        <v>8x8 input cc</v>
      </c>
      <c r="AA1" t="str">
        <f>v0!C90</f>
        <v>8x8 work cc</v>
      </c>
      <c r="AB1" t="str">
        <f>v0!D90</f>
        <v>8x8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v0!A93</f>
        <v>2</v>
      </c>
      <c r="Q2">
        <f>v0!B93</f>
        <v>8</v>
      </c>
      <c r="R2">
        <f>v0!C93</f>
        <v>2</v>
      </c>
      <c r="S2">
        <f>v0!D93</f>
        <v>2</v>
      </c>
      <c r="U2">
        <f>v0!G79</f>
        <v>0</v>
      </c>
      <c r="V2">
        <f>v0!H79</f>
        <v>12</v>
      </c>
      <c r="W2">
        <f>v0!I79</f>
        <v>0</v>
      </c>
      <c r="Y2">
        <f>v0!A91</f>
        <v>2</v>
      </c>
      <c r="Z2">
        <f>v0!B91</f>
        <v>22</v>
      </c>
      <c r="AA2">
        <f>v0!C91</f>
        <v>0</v>
      </c>
      <c r="AB2">
        <f>v0!D91</f>
        <v>10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197</v>
      </c>
      <c r="B5">
        <v>0</v>
      </c>
      <c r="C5">
        <f>B5+$P$2</f>
        <v>2</v>
      </c>
      <c r="D5">
        <f>C5+$Q$2</f>
        <v>10</v>
      </c>
      <c r="E5">
        <f>D5+$R$2</f>
        <v>12</v>
      </c>
      <c r="F5">
        <f>E5+$S$2</f>
        <v>14</v>
      </c>
    </row>
    <row r="6" spans="1:28" x14ac:dyDescent="0.2">
      <c r="A6" t="s">
        <v>129</v>
      </c>
      <c r="B6">
        <f>B5+8</f>
        <v>8</v>
      </c>
      <c r="C6">
        <f t="shared" ref="C6:C8" si="0">B6+$P$2</f>
        <v>10</v>
      </c>
      <c r="D6">
        <f t="shared" ref="D6:D8" si="1">C6+$Q$2</f>
        <v>18</v>
      </c>
      <c r="E6">
        <f t="shared" ref="E6:E8" si="2">D6+$R$2</f>
        <v>20</v>
      </c>
      <c r="F6">
        <f t="shared" ref="F6:F8" si="3">E6+$S$2</f>
        <v>22</v>
      </c>
    </row>
    <row r="7" spans="1:28" x14ac:dyDescent="0.2">
      <c r="A7" t="s">
        <v>130</v>
      </c>
      <c r="B7">
        <f>B6+8</f>
        <v>16</v>
      </c>
      <c r="C7">
        <f t="shared" si="0"/>
        <v>18</v>
      </c>
      <c r="D7">
        <f t="shared" si="1"/>
        <v>26</v>
      </c>
      <c r="E7">
        <f t="shared" si="2"/>
        <v>28</v>
      </c>
      <c r="F7">
        <f t="shared" si="3"/>
        <v>30</v>
      </c>
    </row>
    <row r="8" spans="1:28" x14ac:dyDescent="0.2">
      <c r="A8" t="s">
        <v>141</v>
      </c>
      <c r="B8">
        <f>B7+8</f>
        <v>24</v>
      </c>
      <c r="C8">
        <f t="shared" si="0"/>
        <v>26</v>
      </c>
      <c r="D8">
        <f t="shared" si="1"/>
        <v>34</v>
      </c>
      <c r="E8">
        <f t="shared" si="2"/>
        <v>36</v>
      </c>
      <c r="F8">
        <f t="shared" si="3"/>
        <v>38</v>
      </c>
    </row>
    <row r="9" spans="1:28" x14ac:dyDescent="0.2">
      <c r="A9" t="s">
        <v>142</v>
      </c>
      <c r="C9">
        <f>E8</f>
        <v>36</v>
      </c>
      <c r="D9">
        <f>C9+$U$2</f>
        <v>36</v>
      </c>
      <c r="E9">
        <f>D9+$V$2</f>
        <v>48</v>
      </c>
      <c r="F9">
        <f>E9+$W$2</f>
        <v>48</v>
      </c>
    </row>
    <row r="10" spans="1:28" x14ac:dyDescent="0.2">
      <c r="A10" t="s">
        <v>146</v>
      </c>
      <c r="C10">
        <f>F9</f>
        <v>48</v>
      </c>
      <c r="D10">
        <f>C10+$H$2</f>
        <v>49</v>
      </c>
      <c r="E10">
        <f>D10+$I$2</f>
        <v>50</v>
      </c>
      <c r="F10">
        <f>E10+$J$2</f>
        <v>51</v>
      </c>
    </row>
    <row r="11" spans="1:28" x14ac:dyDescent="0.2">
      <c r="A11" t="s">
        <v>147</v>
      </c>
      <c r="C11">
        <f>F10</f>
        <v>51</v>
      </c>
      <c r="D11">
        <f>C11+$L$2</f>
        <v>52</v>
      </c>
      <c r="E11">
        <f>D11+$M$2</f>
        <v>53</v>
      </c>
      <c r="F11">
        <f>E11+$N$2</f>
        <v>57</v>
      </c>
    </row>
    <row r="12" spans="1:28" x14ac:dyDescent="0.2">
      <c r="A12" t="s">
        <v>131</v>
      </c>
      <c r="B12">
        <f>'PMF c0 round0'!B12</f>
        <v>79</v>
      </c>
      <c r="C12">
        <f>B12+$P$2</f>
        <v>81</v>
      </c>
      <c r="D12">
        <f>C12+$Q$2</f>
        <v>89</v>
      </c>
      <c r="E12">
        <f>D12+$R$2</f>
        <v>91</v>
      </c>
      <c r="F12">
        <f>E12+$S$2</f>
        <v>93</v>
      </c>
    </row>
    <row r="13" spans="1:28" x14ac:dyDescent="0.2">
      <c r="A13" t="s">
        <v>132</v>
      </c>
      <c r="C13">
        <f>E12</f>
        <v>91</v>
      </c>
      <c r="D13">
        <f>C13+$U$2</f>
        <v>91</v>
      </c>
      <c r="E13">
        <f>D13+$V$2</f>
        <v>103</v>
      </c>
      <c r="F13">
        <f>E13+$W$2</f>
        <v>103</v>
      </c>
    </row>
    <row r="14" spans="1:28" x14ac:dyDescent="0.2">
      <c r="A14" t="s">
        <v>146</v>
      </c>
      <c r="C14">
        <f>F13</f>
        <v>103</v>
      </c>
      <c r="D14">
        <f>C14+$H$2</f>
        <v>104</v>
      </c>
      <c r="E14">
        <f>D14+$I$2</f>
        <v>105</v>
      </c>
      <c r="F14">
        <f>E14+$J$2</f>
        <v>106</v>
      </c>
    </row>
    <row r="15" spans="1:28" x14ac:dyDescent="0.2">
      <c r="A15" t="s">
        <v>147</v>
      </c>
      <c r="C15">
        <f>F14</f>
        <v>106</v>
      </c>
      <c r="D15">
        <f>C15+$L$2</f>
        <v>107</v>
      </c>
      <c r="E15">
        <f>D15+$M$2</f>
        <v>108</v>
      </c>
      <c r="F15">
        <f>E15+$N$2</f>
        <v>112</v>
      </c>
    </row>
    <row r="16" spans="1:28" x14ac:dyDescent="0.2">
      <c r="A16" t="s">
        <v>133</v>
      </c>
      <c r="B16">
        <f>'PMF c0 round0'!B16</f>
        <v>125</v>
      </c>
      <c r="C16">
        <f>B16+$P$2</f>
        <v>127</v>
      </c>
      <c r="D16">
        <f>C16+$Q$2</f>
        <v>135</v>
      </c>
      <c r="E16">
        <f>D16+$R$2</f>
        <v>137</v>
      </c>
      <c r="F16">
        <f>E16+$S$2</f>
        <v>139</v>
      </c>
    </row>
    <row r="17" spans="1:6" x14ac:dyDescent="0.2">
      <c r="A17" t="s">
        <v>132</v>
      </c>
      <c r="C17">
        <f>E16</f>
        <v>137</v>
      </c>
      <c r="D17">
        <f>C17+$U$2</f>
        <v>137</v>
      </c>
      <c r="E17">
        <f>D17+$V$2</f>
        <v>149</v>
      </c>
      <c r="F17">
        <f>E17+$W$2</f>
        <v>149</v>
      </c>
    </row>
    <row r="18" spans="1:6" x14ac:dyDescent="0.2">
      <c r="A18" t="s">
        <v>146</v>
      </c>
      <c r="C18">
        <f>F17</f>
        <v>149</v>
      </c>
      <c r="D18">
        <f>C18+$H$2</f>
        <v>150</v>
      </c>
      <c r="E18">
        <f>D18+$I$2</f>
        <v>151</v>
      </c>
      <c r="F18">
        <f>E18+$J$2</f>
        <v>152</v>
      </c>
    </row>
    <row r="19" spans="1:6" x14ac:dyDescent="0.2">
      <c r="A19" t="s">
        <v>147</v>
      </c>
      <c r="C19">
        <f>F18</f>
        <v>152</v>
      </c>
      <c r="D19">
        <f>C19+$L$2</f>
        <v>153</v>
      </c>
      <c r="E19">
        <f>D19+$M$2</f>
        <v>154</v>
      </c>
      <c r="F19">
        <f>E19+$N$2</f>
        <v>158</v>
      </c>
    </row>
    <row r="20" spans="1:6" x14ac:dyDescent="0.2">
      <c r="A20" t="s">
        <v>134</v>
      </c>
      <c r="B20">
        <f>'PMF c0 round0'!B20</f>
        <v>171</v>
      </c>
      <c r="C20">
        <f>B20+$P$2</f>
        <v>173</v>
      </c>
      <c r="D20">
        <f>C20+$Q$2</f>
        <v>181</v>
      </c>
      <c r="E20">
        <f>D20+$R$2</f>
        <v>183</v>
      </c>
      <c r="F20">
        <f>E20+$S$2</f>
        <v>185</v>
      </c>
    </row>
    <row r="21" spans="1:6" x14ac:dyDescent="0.2">
      <c r="A21" t="s">
        <v>142</v>
      </c>
      <c r="C21">
        <f>E20</f>
        <v>183</v>
      </c>
      <c r="D21">
        <f>C21+$U$2</f>
        <v>183</v>
      </c>
      <c r="E21">
        <f>D21+$V$2</f>
        <v>195</v>
      </c>
      <c r="F21">
        <f>E21+$W$2</f>
        <v>195</v>
      </c>
    </row>
    <row r="22" spans="1:6" x14ac:dyDescent="0.2">
      <c r="A22" t="s">
        <v>146</v>
      </c>
      <c r="C22">
        <f>F21</f>
        <v>195</v>
      </c>
      <c r="D22">
        <f>C22+$H$2</f>
        <v>196</v>
      </c>
      <c r="E22">
        <f>D22+$I$2</f>
        <v>197</v>
      </c>
      <c r="F22">
        <f>E22+$J$2</f>
        <v>198</v>
      </c>
    </row>
    <row r="23" spans="1:6" x14ac:dyDescent="0.2">
      <c r="A23" t="s">
        <v>147</v>
      </c>
      <c r="C23">
        <f>F22</f>
        <v>198</v>
      </c>
      <c r="D23">
        <f>C23+$L$2</f>
        <v>199</v>
      </c>
      <c r="E23">
        <f>D23+$M$2</f>
        <v>200</v>
      </c>
      <c r="F23">
        <f>E23+$N$2</f>
        <v>204</v>
      </c>
    </row>
    <row r="24" spans="1:6" x14ac:dyDescent="0.2">
      <c r="A24" t="s">
        <v>22</v>
      </c>
      <c r="D24">
        <f>F23</f>
        <v>204</v>
      </c>
      <c r="E24">
        <f>D24+7</f>
        <v>211</v>
      </c>
      <c r="F24">
        <f>E24+1</f>
        <v>212</v>
      </c>
    </row>
    <row r="25" spans="1:6" x14ac:dyDescent="0.2">
      <c r="A25" t="s">
        <v>135</v>
      </c>
      <c r="B25">
        <f>B8+8</f>
        <v>32</v>
      </c>
      <c r="C25">
        <f t="shared" ref="C25:C26" si="4">B25+$P$2</f>
        <v>34</v>
      </c>
      <c r="D25">
        <f t="shared" ref="D25:D26" si="5">C25+$Q$2</f>
        <v>42</v>
      </c>
      <c r="E25">
        <f t="shared" ref="E25:E26" si="6">D25+$R$2</f>
        <v>44</v>
      </c>
      <c r="F25">
        <f t="shared" ref="F25:F26" si="7">E25+$S$2</f>
        <v>46</v>
      </c>
    </row>
    <row r="26" spans="1:6" x14ac:dyDescent="0.2">
      <c r="A26" t="s">
        <v>136</v>
      </c>
      <c r="B26">
        <f>B25+8</f>
        <v>40</v>
      </c>
      <c r="C26">
        <f t="shared" si="4"/>
        <v>42</v>
      </c>
      <c r="D26">
        <f t="shared" si="5"/>
        <v>50</v>
      </c>
      <c r="E26">
        <f t="shared" si="6"/>
        <v>52</v>
      </c>
      <c r="F26">
        <f t="shared" si="7"/>
        <v>54</v>
      </c>
    </row>
    <row r="27" spans="1:6" x14ac:dyDescent="0.2">
      <c r="A27" t="s">
        <v>143</v>
      </c>
      <c r="B27">
        <f>B26+8</f>
        <v>48</v>
      </c>
      <c r="C27">
        <f>B27+$P$2</f>
        <v>50</v>
      </c>
      <c r="D27">
        <f>C27+$Q$2</f>
        <v>58</v>
      </c>
      <c r="E27">
        <f>D27+$R$2</f>
        <v>60</v>
      </c>
      <c r="F27">
        <f>E27+$S$2</f>
        <v>62</v>
      </c>
    </row>
    <row r="28" spans="1:6" x14ac:dyDescent="0.2">
      <c r="A28" t="s">
        <v>144</v>
      </c>
      <c r="B28">
        <f>D30-2</f>
        <v>103</v>
      </c>
      <c r="C28">
        <f>B28+$P$2</f>
        <v>105</v>
      </c>
      <c r="D28">
        <f>C28+$Q$2</f>
        <v>113</v>
      </c>
      <c r="E28">
        <f>D28+$R$2</f>
        <v>115</v>
      </c>
      <c r="F28">
        <f>E28+$S$2</f>
        <v>117</v>
      </c>
    </row>
    <row r="29" spans="1:6" x14ac:dyDescent="0.2">
      <c r="A29" t="s">
        <v>137</v>
      </c>
      <c r="B29">
        <f>B12+8</f>
        <v>87</v>
      </c>
      <c r="C29">
        <f>B29+$P$2</f>
        <v>89</v>
      </c>
      <c r="D29">
        <f>C29+$Q$2</f>
        <v>97</v>
      </c>
      <c r="E29">
        <f>D29+$R$2</f>
        <v>99</v>
      </c>
      <c r="F29">
        <f>E29+$S$2</f>
        <v>101</v>
      </c>
    </row>
    <row r="30" spans="1:6" x14ac:dyDescent="0.2">
      <c r="A30" t="s">
        <v>138</v>
      </c>
      <c r="B30">
        <f>B29+8</f>
        <v>95</v>
      </c>
      <c r="C30">
        <f>B30+$P$2</f>
        <v>97</v>
      </c>
      <c r="D30">
        <f>C30+$Q$2</f>
        <v>105</v>
      </c>
      <c r="E30">
        <f>D30+$R$2</f>
        <v>107</v>
      </c>
      <c r="F30">
        <f>E30+$S$2</f>
        <v>109</v>
      </c>
    </row>
    <row r="31" spans="1:6" x14ac:dyDescent="0.2">
      <c r="A31" t="s">
        <v>50</v>
      </c>
      <c r="B31">
        <f>D27-2</f>
        <v>56</v>
      </c>
      <c r="C31">
        <f>B31+$Y$2</f>
        <v>58</v>
      </c>
      <c r="D31">
        <f>C31+$Z$2</f>
        <v>80</v>
      </c>
      <c r="E31" s="44">
        <f>D31+$AA$2+2</f>
        <v>82</v>
      </c>
      <c r="F31">
        <f>E31+$AB$2</f>
        <v>92</v>
      </c>
    </row>
    <row r="32" spans="1:6" x14ac:dyDescent="0.2">
      <c r="A32" t="s">
        <v>139</v>
      </c>
      <c r="B32">
        <f>D16-2</f>
        <v>133</v>
      </c>
      <c r="C32">
        <f>B32+$P$2</f>
        <v>135</v>
      </c>
      <c r="D32">
        <f>C32+$Q$2</f>
        <v>143</v>
      </c>
      <c r="E32">
        <f>D32+$R$2</f>
        <v>145</v>
      </c>
      <c r="F32">
        <f>E32+$S$2</f>
        <v>147</v>
      </c>
    </row>
    <row r="33" spans="1:6" x14ac:dyDescent="0.2">
      <c r="A33" t="s">
        <v>140</v>
      </c>
      <c r="B33">
        <f>B32+8</f>
        <v>141</v>
      </c>
      <c r="C33">
        <f>B33+$P$2</f>
        <v>143</v>
      </c>
      <c r="D33">
        <f>C33+$Q$2</f>
        <v>151</v>
      </c>
      <c r="E33">
        <f>D33+$R$2</f>
        <v>153</v>
      </c>
      <c r="F33">
        <f>E33+$S$2</f>
        <v>155</v>
      </c>
    </row>
    <row r="34" spans="1:6" x14ac:dyDescent="0.2">
      <c r="A34" t="s">
        <v>145</v>
      </c>
      <c r="B34">
        <f>D33-2</f>
        <v>149</v>
      </c>
      <c r="C34">
        <f>B34+$P$2</f>
        <v>151</v>
      </c>
      <c r="D34">
        <f>C34+$Q$2</f>
        <v>159</v>
      </c>
      <c r="E34">
        <f>D34+$R$2</f>
        <v>161</v>
      </c>
      <c r="F34">
        <f>E34+$S$2</f>
        <v>163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3E0C-CAEA-452F-9B6F-FDBECCDE339D}">
  <dimension ref="A1:AB34"/>
  <sheetViews>
    <sheetView workbookViewId="0">
      <selection activeCell="R35" sqref="R35"/>
    </sheetView>
  </sheetViews>
  <sheetFormatPr defaultRowHeight="14.25" x14ac:dyDescent="0.2"/>
  <cols>
    <col min="1" max="1" width="21.5" customWidth="1"/>
    <col min="3" max="3" width="10.625" customWidth="1"/>
    <col min="5" max="5" width="12.75" customWidth="1"/>
  </cols>
  <sheetData>
    <row r="1" spans="1:28" x14ac:dyDescent="0.2">
      <c r="A1" t="s">
        <v>0</v>
      </c>
      <c r="B1" t="s">
        <v>175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v0!A92</f>
        <v>UVread latancy</v>
      </c>
      <c r="Q1" t="str">
        <f>v0!B92</f>
        <v>4x4 input cc</v>
      </c>
      <c r="R1" t="str">
        <f>v0!C92</f>
        <v>4x4 work cc</v>
      </c>
      <c r="S1" t="str">
        <f>v0!D92</f>
        <v>4x4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  <c r="Y1" t="str">
        <f>v0!A90</f>
        <v>UVread latancy</v>
      </c>
      <c r="Z1" t="str">
        <f>v0!B90</f>
        <v>8x8 input cc</v>
      </c>
      <c r="AA1" t="str">
        <f>v0!C90</f>
        <v>8x8 work cc</v>
      </c>
      <c r="AB1" t="str">
        <f>v0!D90</f>
        <v>8x8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v0!A93</f>
        <v>2</v>
      </c>
      <c r="Q2">
        <f>v0!B93</f>
        <v>8</v>
      </c>
      <c r="R2">
        <f>v0!C93</f>
        <v>2</v>
      </c>
      <c r="S2">
        <f>v0!D93</f>
        <v>2</v>
      </c>
      <c r="U2">
        <f>v0!G79</f>
        <v>0</v>
      </c>
      <c r="V2">
        <f>v0!H79</f>
        <v>12</v>
      </c>
      <c r="W2">
        <f>v0!I79</f>
        <v>0</v>
      </c>
      <c r="Y2">
        <f>v0!A91</f>
        <v>2</v>
      </c>
      <c r="Z2">
        <f>v0!B91</f>
        <v>22</v>
      </c>
      <c r="AA2">
        <f>v0!C91</f>
        <v>0</v>
      </c>
      <c r="AB2">
        <f>v0!D91</f>
        <v>10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128</v>
      </c>
      <c r="B5">
        <f>'PMF c0 round1-3'!B5</f>
        <v>202</v>
      </c>
      <c r="C5">
        <f>B5+$P$2</f>
        <v>204</v>
      </c>
      <c r="D5">
        <f>C5+$Q$2</f>
        <v>212</v>
      </c>
      <c r="E5">
        <f>D5+$R$2</f>
        <v>214</v>
      </c>
      <c r="F5">
        <f>E5+$S$2</f>
        <v>216</v>
      </c>
    </row>
    <row r="6" spans="1:28" x14ac:dyDescent="0.2">
      <c r="A6" t="s">
        <v>129</v>
      </c>
      <c r="B6">
        <f>B5+8</f>
        <v>210</v>
      </c>
      <c r="C6">
        <f t="shared" ref="C6:C8" si="0">B6+$P$2</f>
        <v>212</v>
      </c>
      <c r="D6">
        <f t="shared" ref="D6:D8" si="1">C6+$Q$2</f>
        <v>220</v>
      </c>
      <c r="E6">
        <f t="shared" ref="E6:E8" si="2">D6+$R$2</f>
        <v>222</v>
      </c>
      <c r="F6">
        <f t="shared" ref="F6:F8" si="3">E6+$S$2</f>
        <v>224</v>
      </c>
    </row>
    <row r="7" spans="1:28" x14ac:dyDescent="0.2">
      <c r="A7" t="s">
        <v>141</v>
      </c>
      <c r="B7">
        <f>D6-2</f>
        <v>218</v>
      </c>
      <c r="C7">
        <f>B7+$P$2</f>
        <v>220</v>
      </c>
      <c r="D7">
        <f>C7+$Q$2</f>
        <v>228</v>
      </c>
      <c r="E7">
        <f>D7+$R$2</f>
        <v>230</v>
      </c>
      <c r="F7">
        <f>E7+$S$2</f>
        <v>232</v>
      </c>
    </row>
    <row r="8" spans="1:28" x14ac:dyDescent="0.2">
      <c r="A8" t="s">
        <v>130</v>
      </c>
      <c r="B8">
        <f>'PMF c0 round1-3'!B8</f>
        <v>226</v>
      </c>
      <c r="C8">
        <f t="shared" si="0"/>
        <v>228</v>
      </c>
      <c r="D8">
        <f t="shared" si="1"/>
        <v>236</v>
      </c>
      <c r="E8">
        <f t="shared" si="2"/>
        <v>238</v>
      </c>
      <c r="F8">
        <f t="shared" si="3"/>
        <v>240</v>
      </c>
    </row>
    <row r="9" spans="1:28" x14ac:dyDescent="0.2">
      <c r="A9" t="s">
        <v>142</v>
      </c>
      <c r="C9">
        <f>E8</f>
        <v>238</v>
      </c>
      <c r="D9">
        <f>C9+$U$2</f>
        <v>238</v>
      </c>
      <c r="E9">
        <f>D9+$V$2</f>
        <v>250</v>
      </c>
      <c r="F9">
        <f>E9+$W$2</f>
        <v>250</v>
      </c>
    </row>
    <row r="10" spans="1:28" x14ac:dyDescent="0.2">
      <c r="A10" t="s">
        <v>146</v>
      </c>
      <c r="C10">
        <f>F9</f>
        <v>250</v>
      </c>
      <c r="D10">
        <f>C10+$H$2</f>
        <v>251</v>
      </c>
      <c r="E10">
        <f>D10+$I$2</f>
        <v>252</v>
      </c>
      <c r="F10">
        <f>E10+$J$2</f>
        <v>253</v>
      </c>
    </row>
    <row r="11" spans="1:28" x14ac:dyDescent="0.2">
      <c r="A11" t="s">
        <v>147</v>
      </c>
      <c r="C11">
        <f>F10</f>
        <v>253</v>
      </c>
      <c r="D11">
        <f>C11+$L$2</f>
        <v>254</v>
      </c>
      <c r="E11">
        <f>D11+$M$2</f>
        <v>255</v>
      </c>
      <c r="F11">
        <f>E11+$N$2</f>
        <v>259</v>
      </c>
    </row>
    <row r="12" spans="1:28" x14ac:dyDescent="0.2">
      <c r="A12" t="s">
        <v>131</v>
      </c>
      <c r="B12">
        <f>'PMF c0 round1-3'!B12</f>
        <v>281</v>
      </c>
      <c r="C12">
        <f>B12+$P$2</f>
        <v>283</v>
      </c>
      <c r="D12">
        <f>C12+$Q$2</f>
        <v>291</v>
      </c>
      <c r="E12">
        <f>D12+$R$2</f>
        <v>293</v>
      </c>
      <c r="F12">
        <f>E12+$S$2</f>
        <v>295</v>
      </c>
    </row>
    <row r="13" spans="1:28" x14ac:dyDescent="0.2">
      <c r="A13" t="s">
        <v>132</v>
      </c>
      <c r="C13">
        <f>E12</f>
        <v>293</v>
      </c>
      <c r="D13">
        <f>C13+$U$2</f>
        <v>293</v>
      </c>
      <c r="E13">
        <f>D13+$V$2</f>
        <v>305</v>
      </c>
      <c r="F13">
        <f>E13+$W$2</f>
        <v>305</v>
      </c>
    </row>
    <row r="14" spans="1:28" x14ac:dyDescent="0.2">
      <c r="A14" t="s">
        <v>146</v>
      </c>
      <c r="C14">
        <f>F13</f>
        <v>305</v>
      </c>
      <c r="D14">
        <f>C14+$H$2</f>
        <v>306</v>
      </c>
      <c r="E14">
        <f>D14+$I$2</f>
        <v>307</v>
      </c>
      <c r="F14">
        <f>E14+$J$2</f>
        <v>308</v>
      </c>
    </row>
    <row r="15" spans="1:28" x14ac:dyDescent="0.2">
      <c r="A15" t="s">
        <v>147</v>
      </c>
      <c r="C15">
        <f>F14</f>
        <v>308</v>
      </c>
      <c r="D15">
        <f>C15+$L$2</f>
        <v>309</v>
      </c>
      <c r="E15">
        <f>D15+$M$2</f>
        <v>310</v>
      </c>
      <c r="F15">
        <f>E15+$N$2</f>
        <v>314</v>
      </c>
    </row>
    <row r="16" spans="1:28" x14ac:dyDescent="0.2">
      <c r="A16" t="s">
        <v>133</v>
      </c>
      <c r="B16">
        <f>'PMF c0 round1-3'!B16</f>
        <v>323</v>
      </c>
      <c r="C16">
        <f>B16+$P$2</f>
        <v>325</v>
      </c>
      <c r="D16">
        <f>C16+$Q$2</f>
        <v>333</v>
      </c>
      <c r="E16">
        <f>D16+$R$2</f>
        <v>335</v>
      </c>
      <c r="F16">
        <f>E16+$S$2</f>
        <v>337</v>
      </c>
    </row>
    <row r="17" spans="1:6" x14ac:dyDescent="0.2">
      <c r="A17" t="s">
        <v>132</v>
      </c>
      <c r="C17">
        <f>E16</f>
        <v>335</v>
      </c>
      <c r="D17">
        <f>C17+$U$2</f>
        <v>335</v>
      </c>
      <c r="E17">
        <f>D17+$V$2</f>
        <v>347</v>
      </c>
      <c r="F17">
        <f>E17+$W$2</f>
        <v>347</v>
      </c>
    </row>
    <row r="18" spans="1:6" x14ac:dyDescent="0.2">
      <c r="A18" t="s">
        <v>146</v>
      </c>
      <c r="C18">
        <f>F17</f>
        <v>347</v>
      </c>
      <c r="D18">
        <f>C18+$H$2</f>
        <v>348</v>
      </c>
      <c r="E18">
        <f>D18+$I$2</f>
        <v>349</v>
      </c>
      <c r="F18">
        <f>E18+$J$2</f>
        <v>350</v>
      </c>
    </row>
    <row r="19" spans="1:6" x14ac:dyDescent="0.2">
      <c r="A19" t="s">
        <v>147</v>
      </c>
      <c r="C19">
        <f>F18</f>
        <v>350</v>
      </c>
      <c r="D19">
        <f>C19+$L$2</f>
        <v>351</v>
      </c>
      <c r="E19">
        <f>D19+$M$2</f>
        <v>352</v>
      </c>
      <c r="F19">
        <f>E19+$N$2</f>
        <v>356</v>
      </c>
    </row>
    <row r="20" spans="1:6" x14ac:dyDescent="0.2">
      <c r="A20" t="s">
        <v>134</v>
      </c>
      <c r="B20">
        <f>'PMF c0 round1-3'!B20</f>
        <v>365</v>
      </c>
      <c r="C20">
        <f>B20+$P$2</f>
        <v>367</v>
      </c>
      <c r="D20">
        <f>C20+$Q$2</f>
        <v>375</v>
      </c>
      <c r="E20" s="42">
        <f>D20+$R$2+1</f>
        <v>378</v>
      </c>
      <c r="F20" s="42">
        <f>E20+$S$2</f>
        <v>380</v>
      </c>
    </row>
    <row r="21" spans="1:6" x14ac:dyDescent="0.2">
      <c r="A21" t="s">
        <v>142</v>
      </c>
      <c r="C21">
        <f>E20</f>
        <v>378</v>
      </c>
      <c r="D21">
        <f>C21+$U$2</f>
        <v>378</v>
      </c>
      <c r="E21">
        <f>D21+$V$2</f>
        <v>390</v>
      </c>
      <c r="F21">
        <f>E21+$W$2</f>
        <v>390</v>
      </c>
    </row>
    <row r="22" spans="1:6" x14ac:dyDescent="0.2">
      <c r="A22" t="s">
        <v>146</v>
      </c>
      <c r="C22">
        <f>F21</f>
        <v>390</v>
      </c>
      <c r="D22">
        <f>C22+$H$2</f>
        <v>391</v>
      </c>
      <c r="E22">
        <f>D22+$I$2</f>
        <v>392</v>
      </c>
      <c r="F22">
        <f>E22+$J$2</f>
        <v>393</v>
      </c>
    </row>
    <row r="23" spans="1:6" x14ac:dyDescent="0.2">
      <c r="A23" t="s">
        <v>147</v>
      </c>
      <c r="C23">
        <f>F22</f>
        <v>393</v>
      </c>
      <c r="D23">
        <f>C23+$L$2</f>
        <v>394</v>
      </c>
      <c r="E23">
        <f>D23+$M$2</f>
        <v>395</v>
      </c>
      <c r="F23">
        <f>E23+$N$2</f>
        <v>399</v>
      </c>
    </row>
    <row r="24" spans="1:6" x14ac:dyDescent="0.2">
      <c r="A24" t="s">
        <v>22</v>
      </c>
      <c r="D24">
        <f>F23</f>
        <v>399</v>
      </c>
      <c r="E24">
        <f>D24+7</f>
        <v>406</v>
      </c>
      <c r="F24">
        <f>E24+1</f>
        <v>407</v>
      </c>
    </row>
    <row r="25" spans="1:6" x14ac:dyDescent="0.2">
      <c r="A25" t="s">
        <v>135</v>
      </c>
      <c r="B25">
        <f>D8-2</f>
        <v>234</v>
      </c>
      <c r="C25">
        <f t="shared" ref="C25:C26" si="4">B25+$P$2</f>
        <v>236</v>
      </c>
      <c r="D25">
        <f t="shared" ref="D25:D26" si="5">C25+$Q$2</f>
        <v>244</v>
      </c>
      <c r="E25">
        <f t="shared" ref="E25:E26" si="6">D25+$R$2</f>
        <v>246</v>
      </c>
      <c r="F25">
        <f t="shared" ref="F25:F26" si="7">E25+$S$2</f>
        <v>248</v>
      </c>
    </row>
    <row r="26" spans="1:6" x14ac:dyDescent="0.2">
      <c r="A26" t="s">
        <v>136</v>
      </c>
      <c r="B26">
        <f>B25+8</f>
        <v>242</v>
      </c>
      <c r="C26">
        <f t="shared" si="4"/>
        <v>244</v>
      </c>
      <c r="D26">
        <f t="shared" si="5"/>
        <v>252</v>
      </c>
      <c r="E26">
        <f t="shared" si="6"/>
        <v>254</v>
      </c>
      <c r="F26">
        <f t="shared" si="7"/>
        <v>256</v>
      </c>
    </row>
    <row r="27" spans="1:6" x14ac:dyDescent="0.2">
      <c r="A27" t="s">
        <v>143</v>
      </c>
      <c r="B27">
        <f>B26+8</f>
        <v>250</v>
      </c>
      <c r="C27">
        <f>B27+$P$2</f>
        <v>252</v>
      </c>
      <c r="D27">
        <f>C27+$Q$2</f>
        <v>260</v>
      </c>
      <c r="E27">
        <f>D27+$R$2</f>
        <v>262</v>
      </c>
      <c r="F27">
        <f>E27+$S$2</f>
        <v>264</v>
      </c>
    </row>
    <row r="28" spans="1:6" x14ac:dyDescent="0.2">
      <c r="A28" t="s">
        <v>144</v>
      </c>
      <c r="B28">
        <f>D30-2</f>
        <v>305</v>
      </c>
      <c r="C28">
        <f>B28+$P$2</f>
        <v>307</v>
      </c>
      <c r="D28">
        <f>C28+$Q$2</f>
        <v>315</v>
      </c>
      <c r="E28">
        <f>D28+$R$2</f>
        <v>317</v>
      </c>
      <c r="F28">
        <f>E28+$S$2</f>
        <v>319</v>
      </c>
    </row>
    <row r="29" spans="1:6" x14ac:dyDescent="0.2">
      <c r="A29" t="s">
        <v>137</v>
      </c>
      <c r="B29">
        <f>B12+8</f>
        <v>289</v>
      </c>
      <c r="C29">
        <f>B29+$P$2</f>
        <v>291</v>
      </c>
      <c r="D29">
        <f>C29+$Q$2</f>
        <v>299</v>
      </c>
      <c r="E29">
        <f>D29+$R$2</f>
        <v>301</v>
      </c>
      <c r="F29">
        <f>E29+$S$2</f>
        <v>303</v>
      </c>
    </row>
    <row r="30" spans="1:6" x14ac:dyDescent="0.2">
      <c r="A30" t="s">
        <v>138</v>
      </c>
      <c r="B30">
        <f>B29+8</f>
        <v>297</v>
      </c>
      <c r="C30">
        <f>B30+$P$2</f>
        <v>299</v>
      </c>
      <c r="D30">
        <f>C30+$Q$2</f>
        <v>307</v>
      </c>
      <c r="E30">
        <f>D30+$R$2</f>
        <v>309</v>
      </c>
      <c r="F30">
        <f>E30+$S$2</f>
        <v>311</v>
      </c>
    </row>
    <row r="31" spans="1:6" x14ac:dyDescent="0.2">
      <c r="A31" t="s">
        <v>51</v>
      </c>
      <c r="B31">
        <f>D27-2</f>
        <v>258</v>
      </c>
      <c r="C31">
        <f>B31+$Y$2</f>
        <v>260</v>
      </c>
      <c r="D31">
        <f>C31+$Z$2</f>
        <v>282</v>
      </c>
      <c r="E31" s="44">
        <f>D31+$AA$2+2</f>
        <v>284</v>
      </c>
      <c r="F31">
        <f>E31+$AB$2</f>
        <v>294</v>
      </c>
    </row>
    <row r="32" spans="1:6" x14ac:dyDescent="0.2">
      <c r="A32" t="s">
        <v>139</v>
      </c>
      <c r="B32">
        <f>D16-2</f>
        <v>331</v>
      </c>
      <c r="C32">
        <f>B32+$P$2</f>
        <v>333</v>
      </c>
      <c r="D32">
        <f>C32+$Q$2</f>
        <v>341</v>
      </c>
      <c r="E32">
        <f>D32+$R$2</f>
        <v>343</v>
      </c>
      <c r="F32">
        <f>E32+$S$2</f>
        <v>345</v>
      </c>
    </row>
    <row r="33" spans="1:6" x14ac:dyDescent="0.2">
      <c r="A33" t="s">
        <v>140</v>
      </c>
      <c r="B33">
        <f>B32+8</f>
        <v>339</v>
      </c>
      <c r="C33">
        <f>B33+$P$2</f>
        <v>341</v>
      </c>
      <c r="D33">
        <f>C33+$Q$2</f>
        <v>349</v>
      </c>
      <c r="E33" s="42">
        <f>D33+$R$2+1</f>
        <v>352</v>
      </c>
      <c r="F33" s="42">
        <f>E33+$S$2</f>
        <v>354</v>
      </c>
    </row>
    <row r="34" spans="1:6" x14ac:dyDescent="0.2">
      <c r="A34" t="s">
        <v>145</v>
      </c>
      <c r="B34">
        <f>D33-2</f>
        <v>347</v>
      </c>
      <c r="C34">
        <f>B34+$P$2</f>
        <v>349</v>
      </c>
      <c r="D34">
        <f>C34+$Q$2</f>
        <v>357</v>
      </c>
      <c r="E34" s="42">
        <f>D34+$R$2+1</f>
        <v>360</v>
      </c>
      <c r="F34" s="42">
        <f>E34+$S$2</f>
        <v>362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F07A-FCE4-4F4E-ACE2-E9CBAFA9EEE3}">
  <dimension ref="A1:W20"/>
  <sheetViews>
    <sheetView workbookViewId="0">
      <selection activeCell="H23" sqref="H23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3" x14ac:dyDescent="0.2">
      <c r="A1" t="s">
        <v>0</v>
      </c>
      <c r="B1" t="s">
        <v>183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v0!A86</f>
        <v>UVread latancy</v>
      </c>
      <c r="Q1" t="str">
        <f>v0!B86</f>
        <v>32x32 input cc</v>
      </c>
      <c r="R1" t="str">
        <f>v0!C86</f>
        <v>32x32 work cc</v>
      </c>
      <c r="S1" t="str">
        <f>v0!D86</f>
        <v>32x32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</row>
    <row r="2" spans="1:23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v0!A87</f>
        <v>2</v>
      </c>
      <c r="Q2">
        <f>v0!B87</f>
        <v>88</v>
      </c>
      <c r="R2">
        <f>v0!C87</f>
        <v>-80</v>
      </c>
      <c r="S2">
        <f>v0!D87</f>
        <v>88</v>
      </c>
      <c r="U2">
        <f>v0!G79</f>
        <v>0</v>
      </c>
      <c r="V2">
        <f>v0!H79</f>
        <v>12</v>
      </c>
      <c r="W2">
        <f>v0!I79</f>
        <v>0</v>
      </c>
    </row>
    <row r="3" spans="1:23" x14ac:dyDescent="0.2">
      <c r="A3" t="s">
        <v>3</v>
      </c>
      <c r="B3" t="s">
        <v>4</v>
      </c>
      <c r="P3" t="str">
        <f>v0!A88</f>
        <v>UVread latancy</v>
      </c>
      <c r="Q3" t="str">
        <f>v0!B88</f>
        <v>16x16 input cc</v>
      </c>
      <c r="R3" t="str">
        <f>v0!C88</f>
        <v>16x16 work cc</v>
      </c>
      <c r="S3" t="str">
        <f>v0!D88</f>
        <v>16x16 output cc</v>
      </c>
    </row>
    <row r="4" spans="1:23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P4">
        <f>v0!A89</f>
        <v>2</v>
      </c>
      <c r="Q4">
        <f>v0!B89</f>
        <v>76</v>
      </c>
      <c r="R4">
        <f>v0!C89</f>
        <v>-16</v>
      </c>
      <c r="S4">
        <f>v0!D89</f>
        <v>32</v>
      </c>
    </row>
    <row r="5" spans="1:23" x14ac:dyDescent="0.2">
      <c r="A5" t="s">
        <v>148</v>
      </c>
      <c r="B5">
        <v>0</v>
      </c>
      <c r="C5">
        <f>B5+$P$6</f>
        <v>2</v>
      </c>
      <c r="D5">
        <f>C5+$Q$6</f>
        <v>24</v>
      </c>
      <c r="E5" s="44">
        <f>'PMF c0 round0'!F27</f>
        <v>66</v>
      </c>
      <c r="F5" s="44">
        <f>E5+8</f>
        <v>74</v>
      </c>
      <c r="P5" t="str">
        <f>v0!A90</f>
        <v>UVread latancy</v>
      </c>
      <c r="Q5" t="str">
        <f>v0!B90</f>
        <v>8x8 input cc</v>
      </c>
      <c r="R5" t="str">
        <f>v0!C90</f>
        <v>8x8 work cc</v>
      </c>
      <c r="S5" t="str">
        <f>v0!D90</f>
        <v>8x8 output cc</v>
      </c>
    </row>
    <row r="6" spans="1:23" x14ac:dyDescent="0.2">
      <c r="A6" t="s">
        <v>184</v>
      </c>
      <c r="B6">
        <f t="shared" ref="B6" si="0">D5-2</f>
        <v>22</v>
      </c>
      <c r="C6">
        <f>B6+$P$6</f>
        <v>24</v>
      </c>
      <c r="D6">
        <f>C6+$Q$6</f>
        <v>46</v>
      </c>
      <c r="E6" s="44">
        <f>F5</f>
        <v>74</v>
      </c>
      <c r="F6" s="44">
        <f>E6+8</f>
        <v>82</v>
      </c>
      <c r="P6">
        <f>v0!A91</f>
        <v>2</v>
      </c>
      <c r="Q6">
        <f>v0!B91</f>
        <v>22</v>
      </c>
      <c r="R6">
        <f>v0!C91</f>
        <v>0</v>
      </c>
      <c r="S6">
        <f>v0!D91</f>
        <v>10</v>
      </c>
    </row>
    <row r="7" spans="1:23" x14ac:dyDescent="0.2">
      <c r="A7" t="s">
        <v>36</v>
      </c>
      <c r="B7" s="43">
        <f>D6-2</f>
        <v>44</v>
      </c>
      <c r="C7">
        <f>B7+$P$4</f>
        <v>46</v>
      </c>
      <c r="D7">
        <f>C7+$Q$4</f>
        <v>122</v>
      </c>
      <c r="E7" s="44">
        <f>D7+$R$4+16</f>
        <v>122</v>
      </c>
      <c r="F7" s="44">
        <f>E7+$S$4</f>
        <v>154</v>
      </c>
    </row>
    <row r="8" spans="1:23" x14ac:dyDescent="0.2">
      <c r="A8" t="s">
        <v>545</v>
      </c>
      <c r="B8">
        <f>D7-2</f>
        <v>120</v>
      </c>
      <c r="C8">
        <f>B8+'PMF UV c1 round1-3'!$P$4</f>
        <v>122</v>
      </c>
      <c r="D8">
        <f>C8+'PMF UV c1 round1-3'!$Q$4</f>
        <v>198</v>
      </c>
      <c r="E8" s="43">
        <f>D8+'PMF UV c1 round1-3'!$R$4</f>
        <v>182</v>
      </c>
      <c r="F8">
        <f>E8+'PMF UV c1 round1-3'!$S$4</f>
        <v>214</v>
      </c>
    </row>
    <row r="12" spans="1:23" x14ac:dyDescent="0.2">
      <c r="E12" s="40"/>
      <c r="F12" s="40"/>
    </row>
    <row r="16" spans="1:23" s="1" customFormat="1" x14ac:dyDescent="0.2">
      <c r="A16"/>
      <c r="B16"/>
      <c r="C16"/>
      <c r="D16"/>
      <c r="E16" s="40"/>
      <c r="F16" s="40"/>
    </row>
    <row r="17" spans="2:6" x14ac:dyDescent="0.2">
      <c r="E17" s="40"/>
      <c r="F17" s="40"/>
    </row>
    <row r="19" spans="2:6" x14ac:dyDescent="0.2">
      <c r="B19" s="1"/>
      <c r="C19" s="1"/>
      <c r="D19" s="1"/>
      <c r="E19" s="1"/>
      <c r="F19" s="1"/>
    </row>
    <row r="20" spans="2:6" x14ac:dyDescent="0.2">
      <c r="B20" s="1"/>
      <c r="C20" s="1"/>
      <c r="D20" s="1"/>
      <c r="E20" s="1"/>
      <c r="F20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317A-AECA-4343-96E0-4ED212B0C2E5}">
  <dimension ref="A1:W17"/>
  <sheetViews>
    <sheetView workbookViewId="0">
      <selection activeCell="K20" sqref="K20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3" x14ac:dyDescent="0.2">
      <c r="A1" t="s">
        <v>0</v>
      </c>
      <c r="B1" t="s">
        <v>182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v0!A86</f>
        <v>UVread latancy</v>
      </c>
      <c r="Q1" t="str">
        <f>v0!B86</f>
        <v>32x32 input cc</v>
      </c>
      <c r="R1" t="str">
        <f>v0!C86</f>
        <v>32x32 work cc</v>
      </c>
      <c r="S1" t="str">
        <f>v0!D86</f>
        <v>32x32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</row>
    <row r="2" spans="1:23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v0!A87</f>
        <v>2</v>
      </c>
      <c r="Q2">
        <f>v0!B87</f>
        <v>88</v>
      </c>
      <c r="R2">
        <f>v0!C87</f>
        <v>-80</v>
      </c>
      <c r="S2">
        <f>v0!D87</f>
        <v>88</v>
      </c>
      <c r="U2">
        <f>v0!G79</f>
        <v>0</v>
      </c>
      <c r="V2">
        <f>v0!H79</f>
        <v>12</v>
      </c>
      <c r="W2">
        <f>v0!I79</f>
        <v>0</v>
      </c>
    </row>
    <row r="3" spans="1:23" x14ac:dyDescent="0.2">
      <c r="A3" t="s">
        <v>3</v>
      </c>
      <c r="B3" t="s">
        <v>4</v>
      </c>
      <c r="P3" t="str">
        <f>v0!A88</f>
        <v>UVread latancy</v>
      </c>
      <c r="Q3" t="str">
        <f>v0!B88</f>
        <v>16x16 input cc</v>
      </c>
      <c r="R3" t="str">
        <f>v0!C88</f>
        <v>16x16 work cc</v>
      </c>
      <c r="S3" t="str">
        <f>v0!D88</f>
        <v>16x16 output cc</v>
      </c>
    </row>
    <row r="4" spans="1:23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P4">
        <f>v0!A89</f>
        <v>2</v>
      </c>
      <c r="Q4">
        <f>v0!B89</f>
        <v>76</v>
      </c>
      <c r="R4">
        <f>v0!C89</f>
        <v>-16</v>
      </c>
      <c r="S4">
        <f>v0!D89</f>
        <v>32</v>
      </c>
    </row>
    <row r="5" spans="1:23" x14ac:dyDescent="0.2">
      <c r="A5" t="s">
        <v>43</v>
      </c>
      <c r="B5">
        <f>'PMF c1 round1-3'!B5+10</f>
        <v>236</v>
      </c>
      <c r="C5">
        <f>B5+$P$6</f>
        <v>238</v>
      </c>
      <c r="D5">
        <f>C5+$Q$6</f>
        <v>260</v>
      </c>
      <c r="E5">
        <f>'PMF c0 round1-3'!F26</f>
        <v>268</v>
      </c>
      <c r="F5">
        <f>E5+8</f>
        <v>276</v>
      </c>
      <c r="P5" t="str">
        <f>v0!A90</f>
        <v>UVread latancy</v>
      </c>
      <c r="Q5" t="str">
        <f>v0!B90</f>
        <v>8x8 input cc</v>
      </c>
      <c r="R5" t="str">
        <f>v0!C90</f>
        <v>8x8 work cc</v>
      </c>
      <c r="S5" t="str">
        <f>v0!D90</f>
        <v>8x8 output cc</v>
      </c>
    </row>
    <row r="6" spans="1:23" x14ac:dyDescent="0.2">
      <c r="A6" t="s">
        <v>185</v>
      </c>
      <c r="B6">
        <f>D5-2</f>
        <v>258</v>
      </c>
      <c r="C6">
        <f>B6+$P$6</f>
        <v>260</v>
      </c>
      <c r="D6">
        <f>C6+$Q$6</f>
        <v>282</v>
      </c>
      <c r="E6" s="43">
        <f>F5</f>
        <v>276</v>
      </c>
      <c r="F6" s="43">
        <f>E6+$S$6</f>
        <v>286</v>
      </c>
      <c r="P6">
        <f>v0!A91</f>
        <v>2</v>
      </c>
      <c r="Q6">
        <f>v0!B91</f>
        <v>22</v>
      </c>
      <c r="R6">
        <f>v0!C91</f>
        <v>0</v>
      </c>
      <c r="S6">
        <f>v0!D91</f>
        <v>10</v>
      </c>
    </row>
    <row r="7" spans="1:23" x14ac:dyDescent="0.2">
      <c r="A7" t="s">
        <v>547</v>
      </c>
      <c r="B7" s="43">
        <f>D6-2</f>
        <v>280</v>
      </c>
      <c r="C7">
        <f>B7+$P$4</f>
        <v>282</v>
      </c>
      <c r="D7">
        <f>C7+$Q$4</f>
        <v>358</v>
      </c>
      <c r="E7">
        <f>D7+$R$4</f>
        <v>342</v>
      </c>
      <c r="F7">
        <f>E7+$S$4</f>
        <v>374</v>
      </c>
    </row>
    <row r="8" spans="1:23" x14ac:dyDescent="0.2">
      <c r="A8" t="s">
        <v>45</v>
      </c>
      <c r="B8">
        <f>'PMF c1 round1-3'!B8</f>
        <v>400</v>
      </c>
      <c r="C8">
        <f>B8+$P$6</f>
        <v>402</v>
      </c>
      <c r="D8">
        <f>C8+$Q$6</f>
        <v>424</v>
      </c>
      <c r="E8">
        <f>D8+$R$6</f>
        <v>424</v>
      </c>
      <c r="F8">
        <f>E8+$S$6</f>
        <v>434</v>
      </c>
    </row>
    <row r="9" spans="1:23" x14ac:dyDescent="0.2">
      <c r="A9" t="s">
        <v>186</v>
      </c>
      <c r="B9">
        <f>D8-2</f>
        <v>422</v>
      </c>
      <c r="C9">
        <f>B9+$P$6</f>
        <v>424</v>
      </c>
      <c r="D9">
        <f>C9+$Q$6</f>
        <v>446</v>
      </c>
      <c r="E9">
        <f>D9+$R$6</f>
        <v>446</v>
      </c>
      <c r="F9">
        <f>E9+$S$6</f>
        <v>456</v>
      </c>
    </row>
    <row r="10" spans="1:23" x14ac:dyDescent="0.2">
      <c r="A10" t="s">
        <v>154</v>
      </c>
      <c r="B10">
        <f>D9-2</f>
        <v>444</v>
      </c>
      <c r="C10">
        <f>B10+$P$4</f>
        <v>446</v>
      </c>
      <c r="D10">
        <f>C10+$Q$4</f>
        <v>522</v>
      </c>
      <c r="E10" s="44">
        <f>F11</f>
        <v>614</v>
      </c>
      <c r="F10" s="44">
        <f>E10+32</f>
        <v>646</v>
      </c>
    </row>
    <row r="11" spans="1:23" x14ac:dyDescent="0.2">
      <c r="A11" t="s">
        <v>155</v>
      </c>
      <c r="B11">
        <f>D10-2</f>
        <v>520</v>
      </c>
      <c r="C11">
        <f>B11+$P$4</f>
        <v>522</v>
      </c>
      <c r="D11">
        <f>C11+$Q$4</f>
        <v>598</v>
      </c>
      <c r="E11" s="43">
        <f>D11+$R$4</f>
        <v>582</v>
      </c>
      <c r="F11" s="43">
        <f>E11+32</f>
        <v>614</v>
      </c>
    </row>
    <row r="12" spans="1:23" x14ac:dyDescent="0.2">
      <c r="A12" t="s">
        <v>546</v>
      </c>
      <c r="B12" s="1">
        <f>'PMF c1 round1-3'!B12</f>
        <v>602</v>
      </c>
      <c r="C12">
        <f>B12+$P$6</f>
        <v>604</v>
      </c>
      <c r="D12">
        <f>C12+$Q$6</f>
        <v>626</v>
      </c>
      <c r="E12">
        <f>D12+$R$6</f>
        <v>626</v>
      </c>
      <c r="F12">
        <f>E12+$S$6</f>
        <v>636</v>
      </c>
    </row>
    <row r="13" spans="1:23" x14ac:dyDescent="0.2">
      <c r="A13" t="s">
        <v>187</v>
      </c>
      <c r="B13" s="1">
        <f>D12-2</f>
        <v>624</v>
      </c>
      <c r="C13">
        <f>B13+$P$6</f>
        <v>626</v>
      </c>
      <c r="D13">
        <f>C13+$Q$6</f>
        <v>648</v>
      </c>
      <c r="E13">
        <f>D13+$R$6</f>
        <v>648</v>
      </c>
      <c r="F13">
        <f>E13+$S$6</f>
        <v>658</v>
      </c>
    </row>
    <row r="14" spans="1:23" x14ac:dyDescent="0.2">
      <c r="A14" t="s">
        <v>49</v>
      </c>
      <c r="E14">
        <f>F9</f>
        <v>456</v>
      </c>
      <c r="F14">
        <f>E14+8</f>
        <v>464</v>
      </c>
    </row>
    <row r="15" spans="1:23" x14ac:dyDescent="0.2">
      <c r="A15" t="s">
        <v>500</v>
      </c>
      <c r="E15">
        <f>F13</f>
        <v>658</v>
      </c>
      <c r="F15">
        <f>E15+8</f>
        <v>666</v>
      </c>
    </row>
    <row r="17" spans="1:6" s="1" customFormat="1" x14ac:dyDescent="0.2">
      <c r="A17"/>
      <c r="B17"/>
      <c r="C17"/>
      <c r="D17"/>
      <c r="E17"/>
      <c r="F1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0F57-9681-4784-B96A-84A30252397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v0</vt:lpstr>
      <vt:lpstr>struct</vt:lpstr>
      <vt:lpstr>interface</vt:lpstr>
      <vt:lpstr>job</vt:lpstr>
      <vt:lpstr>output format</vt:lpstr>
      <vt:lpstr>264PMF Y c0 round0</vt:lpstr>
      <vt:lpstr>264PMF Y c1 round0</vt:lpstr>
      <vt:lpstr>264PMF UV c0 round0</vt:lpstr>
      <vt:lpstr>264PMF UV c1 round0</vt:lpstr>
      <vt:lpstr>PMF c0 round0</vt:lpstr>
      <vt:lpstr>PMF sp c0 round0</vt:lpstr>
      <vt:lpstr>PMF sp c0 round1-3</vt:lpstr>
      <vt:lpstr>PMF c0 round1-3</vt:lpstr>
      <vt:lpstr>PMF c1 round0</vt:lpstr>
      <vt:lpstr>PMF c1 round1-3</vt:lpstr>
      <vt:lpstr>PMF UV c0 round0</vt:lpstr>
      <vt:lpstr>PMF UV c0 round1-3</vt:lpstr>
      <vt:lpstr>PMF UV c1 round0</vt:lpstr>
      <vt:lpstr>PMF UV c1 round1-3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Huangtao Wu</dc:creator>
  <cp:lastModifiedBy>Huangtao Wu</cp:lastModifiedBy>
  <cp:lastPrinted>2026-01-06T07:20:19Z</cp:lastPrinted>
  <dcterms:created xsi:type="dcterms:W3CDTF">2025-12-10T06:48:06Z</dcterms:created>
  <dcterms:modified xsi:type="dcterms:W3CDTF">2026-03-06T07:16:17Z</dcterms:modified>
</cp:coreProperties>
</file>