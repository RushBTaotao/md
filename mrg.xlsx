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9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uawu01\Desktop\md\"/>
    </mc:Choice>
  </mc:AlternateContent>
  <xr:revisionPtr revIDLastSave="0" documentId="13_ncr:1_{2B664B4D-607C-42F2-9046-455DF4C9C655}" xr6:coauthVersionLast="33" xr6:coauthVersionMax="33" xr10:uidLastSave="{00000000-0000-0000-0000-000000000000}"/>
  <bookViews>
    <workbookView xWindow="0" yWindow="0" windowWidth="28800" windowHeight="12135" activeTab="4" xr2:uid="{39627F01-7337-4F89-8A01-1D6EB359A865}"/>
  </bookViews>
  <sheets>
    <sheet name="v0" sheetId="1" r:id="rId1"/>
    <sheet name="normal" sheetId="2" r:id="rId2"/>
    <sheet name="Sheet6" sheetId="6" r:id="rId3"/>
    <sheet name="FME c1" sheetId="5" r:id="rId4"/>
    <sheet name="FME c1 round0" sheetId="7" r:id="rId5"/>
    <sheet name="FME c0 round1" sheetId="3" r:id="rId6"/>
    <sheet name="FME c0 round2-4" sheetId="4" r:id="rId7"/>
  </sheets>
  <calcPr calcId="17901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" i="7" l="1"/>
  <c r="D5" i="7" s="1"/>
  <c r="C8" i="4"/>
  <c r="D8" i="4" s="1"/>
  <c r="B6" i="4"/>
  <c r="C6" i="4" s="1"/>
  <c r="D6" i="4" s="1"/>
  <c r="E6" i="4" s="1"/>
  <c r="F6" i="4" s="1"/>
  <c r="C5" i="4"/>
  <c r="D5" i="4" s="1"/>
  <c r="E5" i="4" s="1"/>
  <c r="F5" i="4" s="1"/>
  <c r="B6" i="3"/>
  <c r="B7" i="3" s="1"/>
  <c r="C5" i="3"/>
  <c r="D5" i="3" s="1"/>
  <c r="E5" i="3" s="1"/>
  <c r="F5" i="3" s="1"/>
  <c r="B6" i="7" l="1"/>
  <c r="C6" i="7" s="1"/>
  <c r="D6" i="7" s="1"/>
  <c r="E5" i="7"/>
  <c r="F5" i="7" s="1"/>
  <c r="B24" i="4"/>
  <c r="E8" i="4"/>
  <c r="B7" i="4"/>
  <c r="C7" i="4" s="1"/>
  <c r="D7" i="4" s="1"/>
  <c r="E7" i="4" s="1"/>
  <c r="F7" i="4" s="1"/>
  <c r="C7" i="3"/>
  <c r="D7" i="3" s="1"/>
  <c r="E7" i="3" s="1"/>
  <c r="F7" i="3" s="1"/>
  <c r="B8" i="3"/>
  <c r="C6" i="3"/>
  <c r="D6" i="3" s="1"/>
  <c r="E6" i="3" s="1"/>
  <c r="F6" i="3" s="1"/>
  <c r="B62" i="5"/>
  <c r="F51" i="5"/>
  <c r="C52" i="5"/>
  <c r="D52" i="5" s="1"/>
  <c r="C5" i="5"/>
  <c r="D5" i="5" s="1"/>
  <c r="E5" i="5" s="1"/>
  <c r="F5" i="5" s="1"/>
  <c r="D37" i="2"/>
  <c r="E37" i="2" s="1"/>
  <c r="F37" i="2" s="1"/>
  <c r="E36" i="2"/>
  <c r="F36" i="2" s="1"/>
  <c r="D36" i="2"/>
  <c r="E30" i="2"/>
  <c r="F30" i="2" s="1"/>
  <c r="D30" i="2"/>
  <c r="D19" i="2"/>
  <c r="E19" i="2" s="1"/>
  <c r="F19" i="2" s="1"/>
  <c r="C5" i="2"/>
  <c r="D5" i="2" s="1"/>
  <c r="E5" i="2" s="1"/>
  <c r="F5" i="2" s="1"/>
  <c r="B6" i="2"/>
  <c r="C6" i="2" s="1"/>
  <c r="D6" i="2" s="1"/>
  <c r="E6" i="2" s="1"/>
  <c r="F6" i="2" s="1"/>
  <c r="B7" i="7" l="1"/>
  <c r="C7" i="7" s="1"/>
  <c r="D7" i="7" s="1"/>
  <c r="E6" i="7"/>
  <c r="F6" i="7" s="1"/>
  <c r="C9" i="4"/>
  <c r="D9" i="4" s="1"/>
  <c r="E9" i="4" s="1"/>
  <c r="F9" i="4" s="1"/>
  <c r="C10" i="4" s="1"/>
  <c r="D10" i="4" s="1"/>
  <c r="E10" i="4" s="1"/>
  <c r="F10" i="4" s="1"/>
  <c r="C11" i="4" s="1"/>
  <c r="D11" i="4" s="1"/>
  <c r="E11" i="4" s="1"/>
  <c r="F11" i="4" s="1"/>
  <c r="F8" i="4"/>
  <c r="B25" i="4"/>
  <c r="C24" i="4"/>
  <c r="D24" i="4" s="1"/>
  <c r="E24" i="4" s="1"/>
  <c r="F24" i="4" s="1"/>
  <c r="C8" i="3"/>
  <c r="D8" i="3" s="1"/>
  <c r="E8" i="3" s="1"/>
  <c r="B25" i="3"/>
  <c r="B6" i="5"/>
  <c r="C6" i="5" s="1"/>
  <c r="D6" i="5" s="1"/>
  <c r="E6" i="5" s="1"/>
  <c r="F6" i="5" s="1"/>
  <c r="B53" i="5"/>
  <c r="C53" i="5" s="1"/>
  <c r="D53" i="5" s="1"/>
  <c r="E52" i="5"/>
  <c r="F52" i="5" s="1"/>
  <c r="B7" i="5"/>
  <c r="C7" i="5" s="1"/>
  <c r="D7" i="5" s="1"/>
  <c r="B7" i="2"/>
  <c r="E43" i="1"/>
  <c r="F43" i="1" s="1"/>
  <c r="D43" i="1"/>
  <c r="E42" i="1"/>
  <c r="F42" i="1"/>
  <c r="D42" i="1"/>
  <c r="C42" i="1"/>
  <c r="E41" i="1"/>
  <c r="F41" i="1" s="1"/>
  <c r="D41" i="1"/>
  <c r="C41" i="1"/>
  <c r="C40" i="1"/>
  <c r="D40" i="1" s="1"/>
  <c r="E40" i="1" s="1"/>
  <c r="F40" i="1" s="1"/>
  <c r="B40" i="1"/>
  <c r="D39" i="1"/>
  <c r="E39" i="1" s="1"/>
  <c r="F39" i="1" s="1"/>
  <c r="C39" i="1"/>
  <c r="B39" i="1"/>
  <c r="D38" i="1"/>
  <c r="E38" i="1" s="1"/>
  <c r="D37" i="1"/>
  <c r="E37" i="1" s="1"/>
  <c r="F37" i="1" s="1"/>
  <c r="E36" i="1"/>
  <c r="F36" i="1"/>
  <c r="D36" i="1"/>
  <c r="C5" i="1"/>
  <c r="D5" i="1" s="1"/>
  <c r="E5" i="1" s="1"/>
  <c r="C9" i="1" s="1"/>
  <c r="D9" i="1" s="1"/>
  <c r="E9" i="1" s="1"/>
  <c r="F9" i="1" s="1"/>
  <c r="B6" i="1"/>
  <c r="B7" i="1" s="1"/>
  <c r="B8" i="1" s="1"/>
  <c r="C8" i="1" s="1"/>
  <c r="E7" i="7" l="1"/>
  <c r="F7" i="7" s="1"/>
  <c r="B8" i="7"/>
  <c r="C8" i="7" s="1"/>
  <c r="D8" i="7" s="1"/>
  <c r="C25" i="4"/>
  <c r="D25" i="4" s="1"/>
  <c r="E25" i="4" s="1"/>
  <c r="F25" i="4" s="1"/>
  <c r="B26" i="4"/>
  <c r="C26" i="4" s="1"/>
  <c r="D26" i="4" s="1"/>
  <c r="B26" i="3"/>
  <c r="C25" i="3"/>
  <c r="D25" i="3" s="1"/>
  <c r="E25" i="3" s="1"/>
  <c r="F25" i="3" s="1"/>
  <c r="C9" i="3"/>
  <c r="D9" i="3" s="1"/>
  <c r="E9" i="3" s="1"/>
  <c r="F9" i="3" s="1"/>
  <c r="C10" i="3" s="1"/>
  <c r="D10" i="3" s="1"/>
  <c r="E10" i="3" s="1"/>
  <c r="F10" i="3" s="1"/>
  <c r="C11" i="3" s="1"/>
  <c r="D11" i="3" s="1"/>
  <c r="E11" i="3" s="1"/>
  <c r="F11" i="3" s="1"/>
  <c r="F8" i="3"/>
  <c r="E7" i="5"/>
  <c r="F7" i="5" s="1"/>
  <c r="B8" i="5"/>
  <c r="C8" i="5" s="1"/>
  <c r="D8" i="5" s="1"/>
  <c r="B54" i="5"/>
  <c r="C54" i="5" s="1"/>
  <c r="D54" i="5" s="1"/>
  <c r="E53" i="5"/>
  <c r="F53" i="5" s="1"/>
  <c r="B8" i="2"/>
  <c r="C7" i="2"/>
  <c r="D7" i="2" s="1"/>
  <c r="E7" i="2" s="1"/>
  <c r="F7" i="2" s="1"/>
  <c r="C43" i="1"/>
  <c r="C7" i="1"/>
  <c r="C6" i="1"/>
  <c r="B15" i="1"/>
  <c r="E6" i="1"/>
  <c r="D6" i="1"/>
  <c r="D7" i="1" s="1"/>
  <c r="D8" i="1" s="1"/>
  <c r="F5" i="1"/>
  <c r="F6" i="1" s="1"/>
  <c r="F7" i="1" s="1"/>
  <c r="F8" i="1" s="1"/>
  <c r="B9" i="7" l="1"/>
  <c r="C9" i="7" s="1"/>
  <c r="D9" i="7" s="1"/>
  <c r="E8" i="7"/>
  <c r="F8" i="7" s="1"/>
  <c r="E26" i="4"/>
  <c r="F26" i="4" s="1"/>
  <c r="B27" i="4"/>
  <c r="C27" i="4" s="1"/>
  <c r="D27" i="4" s="1"/>
  <c r="C26" i="3"/>
  <c r="D26" i="3" s="1"/>
  <c r="E26" i="3" s="1"/>
  <c r="F26" i="3" s="1"/>
  <c r="B27" i="3"/>
  <c r="C27" i="3" s="1"/>
  <c r="D27" i="3" s="1"/>
  <c r="E8" i="5"/>
  <c r="F8" i="5" s="1"/>
  <c r="B9" i="5"/>
  <c r="C9" i="5" s="1"/>
  <c r="D9" i="5" s="1"/>
  <c r="E54" i="5"/>
  <c r="F54" i="5" s="1"/>
  <c r="B55" i="5"/>
  <c r="C55" i="5" s="1"/>
  <c r="D55" i="5" s="1"/>
  <c r="B12" i="2"/>
  <c r="C8" i="2"/>
  <c r="D8" i="2" s="1"/>
  <c r="E8" i="2" s="1"/>
  <c r="F8" i="2" s="1"/>
  <c r="D44" i="1"/>
  <c r="E44" i="1" s="1"/>
  <c r="B16" i="1"/>
  <c r="C15" i="1"/>
  <c r="D15" i="1" s="1"/>
  <c r="E15" i="1" s="1"/>
  <c r="E7" i="1"/>
  <c r="C10" i="1"/>
  <c r="D10" i="1" s="1"/>
  <c r="E10" i="1" s="1"/>
  <c r="F10" i="1" s="1"/>
  <c r="B10" i="7" l="1"/>
  <c r="C10" i="7" s="1"/>
  <c r="D10" i="7" s="1"/>
  <c r="E9" i="7"/>
  <c r="F9" i="7" s="1"/>
  <c r="B28" i="4"/>
  <c r="C28" i="4" s="1"/>
  <c r="D28" i="4" s="1"/>
  <c r="E27" i="4"/>
  <c r="F27" i="4" s="1"/>
  <c r="E27" i="3"/>
  <c r="F27" i="3" s="1"/>
  <c r="B28" i="3"/>
  <c r="C28" i="3" s="1"/>
  <c r="D28" i="3" s="1"/>
  <c r="B10" i="5"/>
  <c r="C10" i="5" s="1"/>
  <c r="D10" i="5" s="1"/>
  <c r="E9" i="5"/>
  <c r="F9" i="5" s="1"/>
  <c r="B56" i="5"/>
  <c r="C56" i="5" s="1"/>
  <c r="D56" i="5" s="1"/>
  <c r="E55" i="5"/>
  <c r="F55" i="5" s="1"/>
  <c r="C12" i="2"/>
  <c r="D12" i="2" s="1"/>
  <c r="E12" i="2" s="1"/>
  <c r="F12" i="2" s="1"/>
  <c r="B13" i="2"/>
  <c r="F15" i="1"/>
  <c r="C17" i="1"/>
  <c r="D17" i="1" s="1"/>
  <c r="E17" i="1" s="1"/>
  <c r="F17" i="1" s="1"/>
  <c r="C16" i="1"/>
  <c r="D16" i="1" s="1"/>
  <c r="E16" i="1" s="1"/>
  <c r="B19" i="1"/>
  <c r="C19" i="1" s="1"/>
  <c r="D19" i="1" s="1"/>
  <c r="E19" i="1" s="1"/>
  <c r="F19" i="1" s="1"/>
  <c r="E8" i="1"/>
  <c r="C12" i="1" s="1"/>
  <c r="D12" i="1" s="1"/>
  <c r="E12" i="1" s="1"/>
  <c r="F12" i="1" s="1"/>
  <c r="C13" i="1" s="1"/>
  <c r="D13" i="1" s="1"/>
  <c r="E13" i="1" s="1"/>
  <c r="F13" i="1" s="1"/>
  <c r="C14" i="1" s="1"/>
  <c r="D14" i="1" s="1"/>
  <c r="E14" i="1" s="1"/>
  <c r="F14" i="1" s="1"/>
  <c r="D20" i="1" s="1"/>
  <c r="E20" i="1" s="1"/>
  <c r="B21" i="1" s="1"/>
  <c r="C11" i="1"/>
  <c r="D11" i="1" s="1"/>
  <c r="E11" i="1" s="1"/>
  <c r="F11" i="1" s="1"/>
  <c r="E10" i="7" l="1"/>
  <c r="F10" i="7" s="1"/>
  <c r="B11" i="7"/>
  <c r="C11" i="7" s="1"/>
  <c r="D11" i="7" s="1"/>
  <c r="B12" i="4"/>
  <c r="E28" i="4"/>
  <c r="F28" i="4" s="1"/>
  <c r="B29" i="3"/>
  <c r="C29" i="3" s="1"/>
  <c r="D29" i="3" s="1"/>
  <c r="E28" i="3"/>
  <c r="F28" i="3" s="1"/>
  <c r="E10" i="5"/>
  <c r="F10" i="5" s="1"/>
  <c r="B11" i="5"/>
  <c r="C11" i="5" s="1"/>
  <c r="D11" i="5" s="1"/>
  <c r="B57" i="5"/>
  <c r="C57" i="5" s="1"/>
  <c r="D57" i="5" s="1"/>
  <c r="E56" i="5"/>
  <c r="F56" i="5" s="1"/>
  <c r="C13" i="2"/>
  <c r="D13" i="2" s="1"/>
  <c r="E13" i="2" s="1"/>
  <c r="B15" i="2"/>
  <c r="C15" i="2" s="1"/>
  <c r="D15" i="2" s="1"/>
  <c r="E15" i="2" s="1"/>
  <c r="F15" i="2" s="1"/>
  <c r="C9" i="2"/>
  <c r="C18" i="1"/>
  <c r="D18" i="1" s="1"/>
  <c r="E18" i="1" s="1"/>
  <c r="F18" i="1" s="1"/>
  <c r="F16" i="1"/>
  <c r="B22" i="1"/>
  <c r="C21" i="1"/>
  <c r="D21" i="1" s="1"/>
  <c r="E21" i="1" s="1"/>
  <c r="B12" i="7" l="1"/>
  <c r="C12" i="7" s="1"/>
  <c r="D12" i="7" s="1"/>
  <c r="E11" i="7"/>
  <c r="F11" i="7" s="1"/>
  <c r="C12" i="4"/>
  <c r="D12" i="4" s="1"/>
  <c r="E12" i="4" s="1"/>
  <c r="B29" i="4"/>
  <c r="B12" i="3"/>
  <c r="E29" i="3"/>
  <c r="F29" i="3" s="1"/>
  <c r="E11" i="5"/>
  <c r="F11" i="5" s="1"/>
  <c r="B12" i="5"/>
  <c r="C12" i="5" s="1"/>
  <c r="D12" i="5" s="1"/>
  <c r="E57" i="5"/>
  <c r="F57" i="5" s="1"/>
  <c r="B58" i="5"/>
  <c r="C58" i="5" s="1"/>
  <c r="D58" i="5" s="1"/>
  <c r="F13" i="2"/>
  <c r="C14" i="2"/>
  <c r="D14" i="2" s="1"/>
  <c r="E14" i="2" s="1"/>
  <c r="F14" i="2" s="1"/>
  <c r="D9" i="2"/>
  <c r="E9" i="2" s="1"/>
  <c r="F9" i="2" s="1"/>
  <c r="C10" i="2" s="1"/>
  <c r="C23" i="1"/>
  <c r="D23" i="1" s="1"/>
  <c r="E23" i="1" s="1"/>
  <c r="F23" i="1" s="1"/>
  <c r="F21" i="1"/>
  <c r="C22" i="1"/>
  <c r="D22" i="1" s="1"/>
  <c r="E22" i="1" s="1"/>
  <c r="B27" i="1"/>
  <c r="E12" i="7" l="1"/>
  <c r="F12" i="7" s="1"/>
  <c r="B13" i="7"/>
  <c r="C13" i="7" s="1"/>
  <c r="D13" i="7" s="1"/>
  <c r="B30" i="4"/>
  <c r="C29" i="4"/>
  <c r="D29" i="4" s="1"/>
  <c r="E29" i="4" s="1"/>
  <c r="F29" i="4" s="1"/>
  <c r="C13" i="4"/>
  <c r="D13" i="4" s="1"/>
  <c r="E13" i="4" s="1"/>
  <c r="F13" i="4" s="1"/>
  <c r="C14" i="4" s="1"/>
  <c r="D14" i="4" s="1"/>
  <c r="E14" i="4" s="1"/>
  <c r="F14" i="4" s="1"/>
  <c r="C15" i="4" s="1"/>
  <c r="D15" i="4" s="1"/>
  <c r="E15" i="4" s="1"/>
  <c r="F15" i="4" s="1"/>
  <c r="F12" i="4"/>
  <c r="C12" i="3"/>
  <c r="D12" i="3" s="1"/>
  <c r="E12" i="3" s="1"/>
  <c r="B30" i="3"/>
  <c r="E12" i="5"/>
  <c r="F12" i="5" s="1"/>
  <c r="B13" i="5"/>
  <c r="C13" i="5" s="1"/>
  <c r="D13" i="5" s="1"/>
  <c r="B59" i="5"/>
  <c r="C59" i="5" s="1"/>
  <c r="D59" i="5" s="1"/>
  <c r="E58" i="5"/>
  <c r="F58" i="5" s="1"/>
  <c r="D10" i="2"/>
  <c r="E10" i="2" s="1"/>
  <c r="F10" i="2" s="1"/>
  <c r="C11" i="2" s="1"/>
  <c r="D11" i="2" s="1"/>
  <c r="E11" i="2" s="1"/>
  <c r="F11" i="2" s="1"/>
  <c r="D16" i="2" s="1"/>
  <c r="E16" i="2" s="1"/>
  <c r="B17" i="2" s="1"/>
  <c r="C17" i="2" s="1"/>
  <c r="D17" i="2" s="1"/>
  <c r="E17" i="2" s="1"/>
  <c r="F17" i="2" s="1"/>
  <c r="B28" i="1"/>
  <c r="C27" i="1"/>
  <c r="D27" i="1" s="1"/>
  <c r="E27" i="1" s="1"/>
  <c r="F27" i="1" s="1"/>
  <c r="C24" i="1"/>
  <c r="D24" i="1" s="1"/>
  <c r="E24" i="1" s="1"/>
  <c r="F24" i="1" s="1"/>
  <c r="C25" i="1" s="1"/>
  <c r="D25" i="1" s="1"/>
  <c r="E25" i="1" s="1"/>
  <c r="F25" i="1" s="1"/>
  <c r="C26" i="1" s="1"/>
  <c r="D26" i="1" s="1"/>
  <c r="E26" i="1" s="1"/>
  <c r="F26" i="1" s="1"/>
  <c r="D30" i="1" s="1"/>
  <c r="E30" i="1" s="1"/>
  <c r="B31" i="1" s="1"/>
  <c r="F22" i="1"/>
  <c r="B14" i="7" l="1"/>
  <c r="C14" i="7" s="1"/>
  <c r="D14" i="7" s="1"/>
  <c r="E13" i="7"/>
  <c r="F13" i="7" s="1"/>
  <c r="B31" i="4"/>
  <c r="C31" i="4" s="1"/>
  <c r="D31" i="4" s="1"/>
  <c r="C30" i="4"/>
  <c r="D30" i="4" s="1"/>
  <c r="E30" i="4" s="1"/>
  <c r="F30" i="4" s="1"/>
  <c r="B31" i="3"/>
  <c r="C30" i="3"/>
  <c r="D30" i="3" s="1"/>
  <c r="E30" i="3" s="1"/>
  <c r="F30" i="3" s="1"/>
  <c r="F12" i="3"/>
  <c r="C13" i="3"/>
  <c r="D13" i="3" s="1"/>
  <c r="E13" i="3" s="1"/>
  <c r="F13" i="3" s="1"/>
  <c r="C14" i="3" s="1"/>
  <c r="D14" i="3" s="1"/>
  <c r="E14" i="3" s="1"/>
  <c r="F14" i="3" s="1"/>
  <c r="C15" i="3" s="1"/>
  <c r="D15" i="3" s="1"/>
  <c r="E15" i="3" s="1"/>
  <c r="F15" i="3" s="1"/>
  <c r="B14" i="5"/>
  <c r="C14" i="5" s="1"/>
  <c r="D14" i="5" s="1"/>
  <c r="E13" i="5"/>
  <c r="F13" i="5" s="1"/>
  <c r="B60" i="5"/>
  <c r="C60" i="5" s="1"/>
  <c r="D60" i="5" s="1"/>
  <c r="E59" i="5"/>
  <c r="F59" i="5" s="1"/>
  <c r="B18" i="2"/>
  <c r="B32" i="1"/>
  <c r="C31" i="1"/>
  <c r="D31" i="1" s="1"/>
  <c r="E31" i="1" s="1"/>
  <c r="F31" i="1" s="1"/>
  <c r="B29" i="1"/>
  <c r="C29" i="1" s="1"/>
  <c r="D29" i="1" s="1"/>
  <c r="E29" i="1" s="1"/>
  <c r="F29" i="1" s="1"/>
  <c r="C28" i="1"/>
  <c r="D28" i="1" s="1"/>
  <c r="E28" i="1" s="1"/>
  <c r="F28" i="1" s="1"/>
  <c r="B15" i="7" l="1"/>
  <c r="C15" i="7" s="1"/>
  <c r="D15" i="7" s="1"/>
  <c r="E14" i="7"/>
  <c r="F14" i="7" s="1"/>
  <c r="E31" i="4"/>
  <c r="F31" i="4" s="1"/>
  <c r="B16" i="4"/>
  <c r="C16" i="4" s="1"/>
  <c r="D16" i="4" s="1"/>
  <c r="B32" i="3"/>
  <c r="C32" i="3" s="1"/>
  <c r="D32" i="3" s="1"/>
  <c r="C31" i="3"/>
  <c r="D31" i="3" s="1"/>
  <c r="E31" i="3" s="1"/>
  <c r="F31" i="3" s="1"/>
  <c r="B15" i="5"/>
  <c r="C15" i="5" s="1"/>
  <c r="D15" i="5" s="1"/>
  <c r="E14" i="5"/>
  <c r="F14" i="5" s="1"/>
  <c r="B61" i="5"/>
  <c r="C61" i="5" s="1"/>
  <c r="D61" i="5" s="1"/>
  <c r="E60" i="5"/>
  <c r="F60" i="5" s="1"/>
  <c r="B22" i="2"/>
  <c r="C22" i="2" s="1"/>
  <c r="D22" i="2" s="1"/>
  <c r="E22" i="2" s="1"/>
  <c r="F22" i="2" s="1"/>
  <c r="C18" i="2"/>
  <c r="D18" i="2" s="1"/>
  <c r="E18" i="2" s="1"/>
  <c r="F18" i="2" s="1"/>
  <c r="B23" i="2"/>
  <c r="C23" i="2" s="1"/>
  <c r="D23" i="2" s="1"/>
  <c r="E23" i="2" s="1"/>
  <c r="F23" i="2" s="1"/>
  <c r="C19" i="2"/>
  <c r="C20" i="2" s="1"/>
  <c r="C32" i="1"/>
  <c r="D32" i="1" s="1"/>
  <c r="E32" i="1" s="1"/>
  <c r="B33" i="1"/>
  <c r="E15" i="7" l="1"/>
  <c r="F15" i="7" s="1"/>
  <c r="B16" i="7"/>
  <c r="C16" i="7" s="1"/>
  <c r="D16" i="7" s="1"/>
  <c r="E16" i="4"/>
  <c r="B32" i="4"/>
  <c r="E32" i="3"/>
  <c r="F32" i="3" s="1"/>
  <c r="B16" i="3"/>
  <c r="C16" i="3" s="1"/>
  <c r="D16" i="3" s="1"/>
  <c r="B16" i="5"/>
  <c r="C16" i="5" s="1"/>
  <c r="D16" i="5" s="1"/>
  <c r="E15" i="5"/>
  <c r="F15" i="5" s="1"/>
  <c r="E61" i="5"/>
  <c r="F61" i="5" s="1"/>
  <c r="D20" i="2"/>
  <c r="E20" i="2" s="1"/>
  <c r="F20" i="2" s="1"/>
  <c r="C21" i="2" s="1"/>
  <c r="D21" i="2" s="1"/>
  <c r="E21" i="2" s="1"/>
  <c r="F21" i="2" s="1"/>
  <c r="D25" i="2" s="1"/>
  <c r="E25" i="2" s="1"/>
  <c r="B26" i="2" s="1"/>
  <c r="B24" i="2"/>
  <c r="C24" i="2" s="1"/>
  <c r="D24" i="2" s="1"/>
  <c r="E24" i="2" s="1"/>
  <c r="F24" i="2" s="1"/>
  <c r="B34" i="1"/>
  <c r="C34" i="1" s="1"/>
  <c r="D34" i="1" s="1"/>
  <c r="E34" i="1" s="1"/>
  <c r="F34" i="1" s="1"/>
  <c r="C33" i="1"/>
  <c r="D33" i="1" s="1"/>
  <c r="E33" i="1" s="1"/>
  <c r="F33" i="1" s="1"/>
  <c r="F32" i="1"/>
  <c r="C35" i="1"/>
  <c r="D35" i="1" s="1"/>
  <c r="E35" i="1" s="1"/>
  <c r="F35" i="1" s="1"/>
  <c r="C36" i="1" s="1"/>
  <c r="C37" i="1" s="1"/>
  <c r="B17" i="7" l="1"/>
  <c r="C17" i="7" s="1"/>
  <c r="D17" i="7" s="1"/>
  <c r="E16" i="7"/>
  <c r="F16" i="7" s="1"/>
  <c r="B33" i="4"/>
  <c r="C33" i="4" s="1"/>
  <c r="D33" i="4" s="1"/>
  <c r="C32" i="4"/>
  <c r="D32" i="4" s="1"/>
  <c r="E32" i="4" s="1"/>
  <c r="F32" i="4" s="1"/>
  <c r="C17" i="4"/>
  <c r="D17" i="4" s="1"/>
  <c r="E17" i="4" s="1"/>
  <c r="F17" i="4" s="1"/>
  <c r="C18" i="4" s="1"/>
  <c r="D18" i="4" s="1"/>
  <c r="E18" i="4" s="1"/>
  <c r="F18" i="4" s="1"/>
  <c r="C19" i="4" s="1"/>
  <c r="D19" i="4" s="1"/>
  <c r="E19" i="4" s="1"/>
  <c r="F19" i="4" s="1"/>
  <c r="F16" i="4"/>
  <c r="E16" i="3"/>
  <c r="B33" i="3"/>
  <c r="C33" i="3" s="1"/>
  <c r="D33" i="3" s="1"/>
  <c r="E16" i="5"/>
  <c r="F16" i="5" s="1"/>
  <c r="B17" i="5"/>
  <c r="C17" i="5" s="1"/>
  <c r="D17" i="5" s="1"/>
  <c r="C26" i="2"/>
  <c r="D26" i="2" s="1"/>
  <c r="E26" i="2" s="1"/>
  <c r="F26" i="2" s="1"/>
  <c r="B27" i="2"/>
  <c r="C27" i="2" s="1"/>
  <c r="D27" i="2" s="1"/>
  <c r="E27" i="2" s="1"/>
  <c r="F27" i="2" s="1"/>
  <c r="B28" i="2"/>
  <c r="C28" i="2" s="1"/>
  <c r="D28" i="2" s="1"/>
  <c r="E28" i="2" s="1"/>
  <c r="F28" i="2" s="1"/>
  <c r="B18" i="7" l="1"/>
  <c r="C18" i="7" s="1"/>
  <c r="D18" i="7" s="1"/>
  <c r="E18" i="7" s="1"/>
  <c r="F18" i="7" s="1"/>
  <c r="E17" i="7"/>
  <c r="F17" i="7" s="1"/>
  <c r="B34" i="4"/>
  <c r="C34" i="4" s="1"/>
  <c r="D34" i="4" s="1"/>
  <c r="E33" i="4"/>
  <c r="F33" i="4" s="1"/>
  <c r="B34" i="3"/>
  <c r="E33" i="3"/>
  <c r="F33" i="3" s="1"/>
  <c r="C17" i="3"/>
  <c r="D17" i="3" s="1"/>
  <c r="E17" i="3" s="1"/>
  <c r="F17" i="3" s="1"/>
  <c r="C18" i="3" s="1"/>
  <c r="D18" i="3" s="1"/>
  <c r="E18" i="3" s="1"/>
  <c r="F18" i="3" s="1"/>
  <c r="C19" i="3" s="1"/>
  <c r="D19" i="3" s="1"/>
  <c r="E19" i="3" s="1"/>
  <c r="F19" i="3" s="1"/>
  <c r="F16" i="3"/>
  <c r="B18" i="5"/>
  <c r="C18" i="5" s="1"/>
  <c r="D18" i="5" s="1"/>
  <c r="E17" i="5"/>
  <c r="F17" i="5" s="1"/>
  <c r="C62" i="5"/>
  <c r="D62" i="5" s="1"/>
  <c r="C30" i="2"/>
  <c r="C31" i="2" s="1"/>
  <c r="B29" i="2"/>
  <c r="C29" i="2" s="1"/>
  <c r="D29" i="2" s="1"/>
  <c r="E29" i="2" s="1"/>
  <c r="F29" i="2" s="1"/>
  <c r="E34" i="4" l="1"/>
  <c r="F34" i="4" s="1"/>
  <c r="B20" i="4"/>
  <c r="C20" i="4" s="1"/>
  <c r="D20" i="4" s="1"/>
  <c r="E20" i="4" s="1"/>
  <c r="C34" i="3"/>
  <c r="D34" i="3" s="1"/>
  <c r="E34" i="3" s="1"/>
  <c r="F34" i="3" s="1"/>
  <c r="B35" i="3"/>
  <c r="C35" i="3" s="1"/>
  <c r="D35" i="3" s="1"/>
  <c r="B19" i="5"/>
  <c r="C19" i="5" s="1"/>
  <c r="D19" i="5" s="1"/>
  <c r="E18" i="5"/>
  <c r="F18" i="5" s="1"/>
  <c r="B63" i="5"/>
  <c r="C63" i="5" s="1"/>
  <c r="D63" i="5" s="1"/>
  <c r="E63" i="5" s="1"/>
  <c r="F63" i="5" s="1"/>
  <c r="E62" i="5"/>
  <c r="F62" i="5" s="1"/>
  <c r="D31" i="2"/>
  <c r="E31" i="2" s="1"/>
  <c r="F31" i="2" s="1"/>
  <c r="C32" i="2" s="1"/>
  <c r="D32" i="2" s="1"/>
  <c r="E32" i="2" s="1"/>
  <c r="F32" i="2" s="1"/>
  <c r="D33" i="2" s="1"/>
  <c r="E33" i="2" s="1"/>
  <c r="B34" i="2" s="1"/>
  <c r="C21" i="4" l="1"/>
  <c r="D21" i="4" s="1"/>
  <c r="E21" i="4" s="1"/>
  <c r="F21" i="4" s="1"/>
  <c r="C22" i="4" s="1"/>
  <c r="D22" i="4" s="1"/>
  <c r="E22" i="4" s="1"/>
  <c r="F22" i="4" s="1"/>
  <c r="C23" i="4" s="1"/>
  <c r="D23" i="4" s="1"/>
  <c r="E23" i="4" s="1"/>
  <c r="F23" i="4" s="1"/>
  <c r="F20" i="4"/>
  <c r="E35" i="3"/>
  <c r="F35" i="3" s="1"/>
  <c r="B20" i="3"/>
  <c r="C20" i="3" s="1"/>
  <c r="D20" i="3" s="1"/>
  <c r="E20" i="3" s="1"/>
  <c r="E19" i="5"/>
  <c r="F19" i="5" s="1"/>
  <c r="B20" i="5"/>
  <c r="C20" i="5" s="1"/>
  <c r="D20" i="5" s="1"/>
  <c r="C34" i="2"/>
  <c r="D34" i="2" s="1"/>
  <c r="E34" i="2" s="1"/>
  <c r="F34" i="2" s="1"/>
  <c r="B35" i="2"/>
  <c r="C35" i="2" s="1"/>
  <c r="D35" i="2" s="1"/>
  <c r="E35" i="2" s="1"/>
  <c r="F35" i="2" s="1"/>
  <c r="C21" i="3" l="1"/>
  <c r="D21" i="3" s="1"/>
  <c r="E21" i="3" s="1"/>
  <c r="F21" i="3" s="1"/>
  <c r="C22" i="3" s="1"/>
  <c r="D22" i="3" s="1"/>
  <c r="E22" i="3" s="1"/>
  <c r="F22" i="3" s="1"/>
  <c r="C23" i="3" s="1"/>
  <c r="D23" i="3" s="1"/>
  <c r="E23" i="3" s="1"/>
  <c r="F23" i="3" s="1"/>
  <c r="D24" i="3" s="1"/>
  <c r="E24" i="3" s="1"/>
  <c r="F24" i="3" s="1"/>
  <c r="F20" i="3"/>
  <c r="E20" i="5"/>
  <c r="F20" i="5" s="1"/>
  <c r="B21" i="5"/>
  <c r="C21" i="5" s="1"/>
  <c r="D21" i="5" s="1"/>
  <c r="C36" i="2"/>
  <c r="C37" i="2" s="1"/>
  <c r="C38" i="2" s="1"/>
  <c r="E21" i="5" l="1"/>
  <c r="F21" i="5" s="1"/>
  <c r="B22" i="5"/>
  <c r="C22" i="5" s="1"/>
  <c r="D22" i="5" s="1"/>
  <c r="D38" i="2"/>
  <c r="E38" i="2" s="1"/>
  <c r="F38" i="2" s="1"/>
  <c r="D39" i="2" s="1"/>
  <c r="E39" i="2" s="1"/>
  <c r="E22" i="5" l="1"/>
  <c r="F22" i="5" s="1"/>
  <c r="B23" i="5"/>
  <c r="C23" i="5" s="1"/>
  <c r="D23" i="5" s="1"/>
  <c r="B24" i="5" l="1"/>
  <c r="C24" i="5" s="1"/>
  <c r="D24" i="5" s="1"/>
  <c r="E23" i="5"/>
  <c r="F23" i="5" s="1"/>
  <c r="B25" i="5" l="1"/>
  <c r="C25" i="5" s="1"/>
  <c r="D25" i="5" s="1"/>
  <c r="E24" i="5"/>
  <c r="F24" i="5" s="1"/>
  <c r="B26" i="5" l="1"/>
  <c r="C26" i="5" s="1"/>
  <c r="D26" i="5" s="1"/>
  <c r="E25" i="5"/>
  <c r="F25" i="5" s="1"/>
  <c r="B27" i="5" l="1"/>
  <c r="C27" i="5" s="1"/>
  <c r="D27" i="5" s="1"/>
  <c r="E26" i="5"/>
  <c r="F26" i="5" s="1"/>
  <c r="E27" i="5" l="1"/>
  <c r="F27" i="5" s="1"/>
  <c r="B28" i="5"/>
  <c r="C28" i="5" s="1"/>
  <c r="D28" i="5" s="1"/>
  <c r="E28" i="5" l="1"/>
  <c r="F28" i="5" s="1"/>
  <c r="B29" i="5"/>
  <c r="C29" i="5" s="1"/>
  <c r="D29" i="5" s="1"/>
  <c r="B30" i="5" l="1"/>
  <c r="C30" i="5" s="1"/>
  <c r="D30" i="5" s="1"/>
  <c r="E29" i="5"/>
  <c r="F29" i="5" s="1"/>
  <c r="B31" i="5" l="1"/>
  <c r="C31" i="5" s="1"/>
  <c r="D31" i="5" s="1"/>
  <c r="E30" i="5"/>
  <c r="F30" i="5" s="1"/>
  <c r="B32" i="5" l="1"/>
  <c r="C32" i="5" s="1"/>
  <c r="D32" i="5" s="1"/>
  <c r="E31" i="5"/>
  <c r="F31" i="5" s="1"/>
  <c r="E32" i="5" l="1"/>
  <c r="F32" i="5" s="1"/>
  <c r="B33" i="5"/>
  <c r="C33" i="5" s="1"/>
  <c r="D33" i="5" s="1"/>
  <c r="B34" i="5" l="1"/>
  <c r="C34" i="5" s="1"/>
  <c r="D34" i="5" s="1"/>
  <c r="E33" i="5"/>
  <c r="F33" i="5" s="1"/>
  <c r="B35" i="5" l="1"/>
  <c r="C35" i="5" s="1"/>
  <c r="D35" i="5" s="1"/>
  <c r="E34" i="5"/>
  <c r="F34" i="5" s="1"/>
  <c r="E35" i="5" l="1"/>
  <c r="F35" i="5" s="1"/>
  <c r="B36" i="5"/>
  <c r="C36" i="5" s="1"/>
  <c r="D36" i="5" s="1"/>
  <c r="E36" i="5" l="1"/>
  <c r="F36" i="5" s="1"/>
  <c r="B37" i="5"/>
  <c r="C37" i="5" s="1"/>
  <c r="D37" i="5" s="1"/>
  <c r="B38" i="5" l="1"/>
  <c r="C38" i="5" s="1"/>
  <c r="D38" i="5" s="1"/>
  <c r="E37" i="5"/>
  <c r="F37" i="5" s="1"/>
  <c r="E38" i="5" l="1"/>
  <c r="F38" i="5" s="1"/>
  <c r="B39" i="5"/>
  <c r="C39" i="5" s="1"/>
  <c r="D39" i="5" s="1"/>
  <c r="E39" i="5" l="1"/>
  <c r="F39" i="5" s="1"/>
  <c r="B40" i="5"/>
  <c r="C40" i="5" s="1"/>
  <c r="D40" i="5" s="1"/>
  <c r="E40" i="5" l="1"/>
  <c r="F40" i="5" s="1"/>
  <c r="B41" i="5"/>
  <c r="C41" i="5" s="1"/>
  <c r="D41" i="5" s="1"/>
  <c r="B42" i="5" l="1"/>
  <c r="C42" i="5" s="1"/>
  <c r="D42" i="5" s="1"/>
  <c r="E41" i="5"/>
  <c r="F41" i="5" s="1"/>
  <c r="E42" i="5" l="1"/>
  <c r="F42" i="5" s="1"/>
  <c r="B43" i="5"/>
  <c r="C43" i="5" s="1"/>
  <c r="D43" i="5" s="1"/>
  <c r="B44" i="5" l="1"/>
  <c r="C44" i="5" s="1"/>
  <c r="D44" i="5" s="1"/>
  <c r="E43" i="5"/>
  <c r="F43" i="5" s="1"/>
  <c r="B45" i="5" l="1"/>
  <c r="C45" i="5" s="1"/>
  <c r="D45" i="5" s="1"/>
  <c r="E44" i="5"/>
  <c r="F44" i="5" s="1"/>
  <c r="B46" i="5" l="1"/>
  <c r="C46" i="5" s="1"/>
  <c r="D46" i="5" s="1"/>
  <c r="E45" i="5"/>
  <c r="F45" i="5" s="1"/>
  <c r="B47" i="5" l="1"/>
  <c r="C47" i="5" s="1"/>
  <c r="D47" i="5" s="1"/>
  <c r="E46" i="5"/>
  <c r="F46" i="5" s="1"/>
  <c r="E47" i="5" l="1"/>
  <c r="F47" i="5" s="1"/>
  <c r="B48" i="5"/>
  <c r="C48" i="5" s="1"/>
  <c r="D48" i="5" s="1"/>
  <c r="B49" i="5" l="1"/>
  <c r="C49" i="5" s="1"/>
  <c r="D49" i="5" s="1"/>
  <c r="E48" i="5"/>
  <c r="F48" i="5" s="1"/>
  <c r="B50" i="5" l="1"/>
  <c r="C50" i="5" s="1"/>
  <c r="D50" i="5" s="1"/>
  <c r="E50" i="5" s="1"/>
  <c r="F50" i="5" s="1"/>
  <c r="E51" i="5" s="1"/>
  <c r="E49" i="5"/>
  <c r="F49" i="5" s="1"/>
</calcChain>
</file>

<file path=xl/sharedStrings.xml><?xml version="1.0" encoding="utf-8"?>
<sst xmlns="http://schemas.openxmlformats.org/spreadsheetml/2006/main" count="392" uniqueCount="141">
  <si>
    <t>tile</t>
    <phoneticPr fontId="1" type="noConversion"/>
  </si>
  <si>
    <t>IPTQ Schedule</t>
    <phoneticPr fontId="1" type="noConversion"/>
  </si>
  <si>
    <t>x</t>
    <phoneticPr fontId="1" type="noConversion"/>
  </si>
  <si>
    <t>CYCLE</t>
    <phoneticPr fontId="1" type="noConversion"/>
  </si>
  <si>
    <t>y</t>
    <phoneticPr fontId="1" type="noConversion"/>
  </si>
  <si>
    <t>MODE</t>
    <phoneticPr fontId="1" type="noConversion"/>
  </si>
  <si>
    <t>mode</t>
  </si>
  <si>
    <t>pipe begin</t>
    <phoneticPr fontId="1" type="noConversion"/>
  </si>
  <si>
    <t>input begin</t>
    <phoneticPr fontId="1" type="noConversion"/>
  </si>
  <si>
    <t>input end</t>
    <phoneticPr fontId="1" type="noConversion"/>
  </si>
  <si>
    <t>output begin</t>
    <phoneticPr fontId="1" type="noConversion"/>
  </si>
  <si>
    <t>output end</t>
    <phoneticPr fontId="1" type="noConversion"/>
  </si>
  <si>
    <t>TQITQ_F8</t>
    <phoneticPr fontId="1" type="noConversion"/>
  </si>
  <si>
    <t>INTER_PK8</t>
    <phoneticPr fontId="1" type="noConversion"/>
  </si>
  <si>
    <t>SEL_PK8</t>
    <phoneticPr fontId="1" type="noConversion"/>
  </si>
  <si>
    <t>PMF_F8_00</t>
    <phoneticPr fontId="1" type="noConversion"/>
  </si>
  <si>
    <t>8x8 input cc</t>
    <phoneticPr fontId="1" type="noConversion"/>
  </si>
  <si>
    <t>8x8 work cc</t>
    <phoneticPr fontId="1" type="noConversion"/>
  </si>
  <si>
    <t>8x8 output cc</t>
    <phoneticPr fontId="1" type="noConversion"/>
  </si>
  <si>
    <t>tqitq input</t>
    <phoneticPr fontId="1" type="noConversion"/>
  </si>
  <si>
    <t>tqitq out</t>
    <phoneticPr fontId="1" type="noConversion"/>
  </si>
  <si>
    <t>tqitq work</t>
    <phoneticPr fontId="1" type="noConversion"/>
  </si>
  <si>
    <t>inter pk in</t>
    <phoneticPr fontId="1" type="noConversion"/>
  </si>
  <si>
    <t>inter pk work</t>
    <phoneticPr fontId="1" type="noConversion"/>
  </si>
  <si>
    <t>inter pk out</t>
    <phoneticPr fontId="1" type="noConversion"/>
  </si>
  <si>
    <t>sel pk in</t>
    <phoneticPr fontId="1" type="noConversion"/>
  </si>
  <si>
    <t>sel pk work</t>
    <phoneticPr fontId="1" type="noConversion"/>
  </si>
  <si>
    <t>sel pk out</t>
    <phoneticPr fontId="1" type="noConversion"/>
  </si>
  <si>
    <t>TQITQ_M8_00</t>
    <phoneticPr fontId="1" type="noConversion"/>
  </si>
  <si>
    <t>dummy wait</t>
    <phoneticPr fontId="1" type="noConversion"/>
  </si>
  <si>
    <t>TQITQ output res</t>
    <phoneticPr fontId="1" type="noConversion"/>
  </si>
  <si>
    <t>read latancy</t>
    <phoneticPr fontId="1" type="noConversion"/>
  </si>
  <si>
    <t>PMF_F8_10</t>
    <phoneticPr fontId="1" type="noConversion"/>
  </si>
  <si>
    <t>16x16 input cc</t>
    <phoneticPr fontId="1" type="noConversion"/>
  </si>
  <si>
    <t>16x16 work cc</t>
    <phoneticPr fontId="1" type="noConversion"/>
  </si>
  <si>
    <t>16x16 output cc</t>
    <phoneticPr fontId="1" type="noConversion"/>
  </si>
  <si>
    <t>PMF_M8_01_0</t>
    <phoneticPr fontId="1" type="noConversion"/>
  </si>
  <si>
    <t>PMF_M8_01_1</t>
    <phoneticPr fontId="1" type="noConversion"/>
  </si>
  <si>
    <t>PMF_M8_00_0</t>
    <phoneticPr fontId="1" type="noConversion"/>
  </si>
  <si>
    <t>PMF_M8_00_1</t>
    <phoneticPr fontId="1" type="noConversion"/>
  </si>
  <si>
    <t>PMF_M8_00_2</t>
    <phoneticPr fontId="1" type="noConversion"/>
  </si>
  <si>
    <t>TQITQ_M8_00_0</t>
    <phoneticPr fontId="1" type="noConversion"/>
  </si>
  <si>
    <t>TQITQ_M8_00_1</t>
    <phoneticPr fontId="1" type="noConversion"/>
  </si>
  <si>
    <t>TQITQ_M8_00_2</t>
    <phoneticPr fontId="1" type="noConversion"/>
  </si>
  <si>
    <t>PMF_M8_10_0</t>
    <phoneticPr fontId="1" type="noConversion"/>
  </si>
  <si>
    <t>PMF_M8_10_1</t>
    <phoneticPr fontId="1" type="noConversion"/>
  </si>
  <si>
    <t>TQITQ_M8_10_0</t>
    <phoneticPr fontId="1" type="noConversion"/>
  </si>
  <si>
    <t>TQITQ_M8_10_1</t>
    <phoneticPr fontId="1" type="noConversion"/>
  </si>
  <si>
    <t>PMF_M8_10_2</t>
    <phoneticPr fontId="1" type="noConversion"/>
  </si>
  <si>
    <t>PMF_M16_00_0</t>
    <phoneticPr fontId="1" type="noConversion"/>
  </si>
  <si>
    <t>PMF_M16_00_1</t>
    <phoneticPr fontId="1" type="noConversion"/>
  </si>
  <si>
    <t>8x8end</t>
    <phoneticPr fontId="1" type="noConversion"/>
  </si>
  <si>
    <t>PMF_M8_01_2</t>
    <phoneticPr fontId="1" type="noConversion"/>
  </si>
  <si>
    <t>PMF_F8_01</t>
    <phoneticPr fontId="1" type="noConversion"/>
  </si>
  <si>
    <t>PMF_M8_11_0</t>
    <phoneticPr fontId="1" type="noConversion"/>
  </si>
  <si>
    <t>PMF_M8_11_1</t>
    <phoneticPr fontId="1" type="noConversion"/>
  </si>
  <si>
    <t>PMF_M8_11_2</t>
    <phoneticPr fontId="1" type="noConversion"/>
  </si>
  <si>
    <t>PMF_F8_11</t>
    <phoneticPr fontId="1" type="noConversion"/>
  </si>
  <si>
    <t>32x32 input cc</t>
    <phoneticPr fontId="1" type="noConversion"/>
  </si>
  <si>
    <t>32x32 work cc</t>
    <phoneticPr fontId="1" type="noConversion"/>
  </si>
  <si>
    <t>32x32 output cc</t>
    <phoneticPr fontId="1" type="noConversion"/>
  </si>
  <si>
    <t>PMF_M16_00_2</t>
    <phoneticPr fontId="1" type="noConversion"/>
  </si>
  <si>
    <t>PMF_F16_00</t>
  </si>
  <si>
    <t>PMF_M32_00_0</t>
    <phoneticPr fontId="1" type="noConversion"/>
  </si>
  <si>
    <t>PMF_M32_00_1</t>
    <phoneticPr fontId="1" type="noConversion"/>
  </si>
  <si>
    <t>PMF_F16_10</t>
    <phoneticPr fontId="1" type="noConversion"/>
  </si>
  <si>
    <t>PMF_M16_10_2</t>
    <phoneticPr fontId="1" type="noConversion"/>
  </si>
  <si>
    <t>PMF_M32_00_2</t>
    <phoneticPr fontId="1" type="noConversion"/>
  </si>
  <si>
    <t>PMF_F32_00</t>
    <phoneticPr fontId="1" type="noConversion"/>
  </si>
  <si>
    <t>PMF_F16_01</t>
    <phoneticPr fontId="1" type="noConversion"/>
  </si>
  <si>
    <t>PMF_M16_01_2</t>
    <phoneticPr fontId="1" type="noConversion"/>
  </si>
  <si>
    <t>PMF32_00 done</t>
    <phoneticPr fontId="1" type="noConversion"/>
  </si>
  <si>
    <t>PMF_M64_00</t>
    <phoneticPr fontId="1" type="noConversion"/>
  </si>
  <si>
    <t>PMF_M64_10</t>
    <phoneticPr fontId="1" type="noConversion"/>
  </si>
  <si>
    <t>PMF_F16_11</t>
    <phoneticPr fontId="1" type="noConversion"/>
  </si>
  <si>
    <t>PMF_M16_11_2</t>
    <phoneticPr fontId="1" type="noConversion"/>
  </si>
  <si>
    <t>PMF_M64_01</t>
    <phoneticPr fontId="1" type="noConversion"/>
  </si>
  <si>
    <t>PMF_M64_11</t>
    <phoneticPr fontId="1" type="noConversion"/>
  </si>
  <si>
    <t>PMF64 done</t>
    <phoneticPr fontId="1" type="noConversion"/>
  </si>
  <si>
    <t>new PMF32</t>
    <phoneticPr fontId="1" type="noConversion"/>
  </si>
  <si>
    <t>PMF_M32_10_0</t>
    <phoneticPr fontId="1" type="noConversion"/>
  </si>
  <si>
    <t>PMF_M32_10_2</t>
    <phoneticPr fontId="1" type="noConversion"/>
  </si>
  <si>
    <t>PMF_M32_10_1</t>
    <phoneticPr fontId="1" type="noConversion"/>
  </si>
  <si>
    <t>PMF_F32_10</t>
    <phoneticPr fontId="1" type="noConversion"/>
  </si>
  <si>
    <t>PMF_M32_11_0</t>
    <phoneticPr fontId="1" type="noConversion"/>
  </si>
  <si>
    <t>PMF_F32_11</t>
    <phoneticPr fontId="1" type="noConversion"/>
  </si>
  <si>
    <t>PMF_M32_11_1</t>
    <phoneticPr fontId="1" type="noConversion"/>
  </si>
  <si>
    <t>PMF_M32_11_2</t>
    <phoneticPr fontId="1" type="noConversion"/>
  </si>
  <si>
    <t>插入32，等待16的</t>
    <phoneticPr fontId="1" type="noConversion"/>
  </si>
  <si>
    <t>PMF_F64_00</t>
    <phoneticPr fontId="1" type="noConversion"/>
  </si>
  <si>
    <t>PMF_F64_10</t>
    <phoneticPr fontId="1" type="noConversion"/>
  </si>
  <si>
    <t>PMF_F64_01</t>
    <phoneticPr fontId="1" type="noConversion"/>
  </si>
  <si>
    <t>PMF_F64_11</t>
    <phoneticPr fontId="1" type="noConversion"/>
  </si>
  <si>
    <t>PMF_M32_01_0</t>
    <phoneticPr fontId="1" type="noConversion"/>
  </si>
  <si>
    <t>PMF_M32_01_1</t>
    <phoneticPr fontId="1" type="noConversion"/>
  </si>
  <si>
    <t>PMF_M32_01_2</t>
    <phoneticPr fontId="1" type="noConversion"/>
  </si>
  <si>
    <t>PMF_F32_01</t>
    <phoneticPr fontId="1" type="noConversion"/>
  </si>
  <si>
    <t>PMF_M8_0_a</t>
  </si>
  <si>
    <t xml:space="preserve">PMF_M8_0_b </t>
  </si>
  <si>
    <t xml:space="preserve">PMF_M8_0_c </t>
  </si>
  <si>
    <t xml:space="preserve">TQITQ_F8 </t>
  </si>
  <si>
    <t xml:space="preserve">INTER_PK8 </t>
  </si>
  <si>
    <t xml:space="preserve">SEL_PK8 </t>
  </si>
  <si>
    <t xml:space="preserve">PMF_M8_1_b </t>
  </si>
  <si>
    <t>PMF_M16_0_a</t>
  </si>
  <si>
    <t xml:space="preserve">TQITQ_M8 </t>
  </si>
  <si>
    <t xml:space="preserve">PMF_M8_2_c </t>
  </si>
  <si>
    <t>PMF_M8_3_a</t>
  </si>
  <si>
    <t xml:space="preserve">PMF_M8_3_b </t>
  </si>
  <si>
    <t xml:space="preserve">PMF_M16_0_b </t>
  </si>
  <si>
    <t xml:space="preserve">PMF_F8_3 </t>
  </si>
  <si>
    <t xml:space="preserve">PMF_M8_3_c </t>
  </si>
  <si>
    <t>PMF_M8_1_a</t>
    <phoneticPr fontId="1" type="noConversion"/>
  </si>
  <si>
    <t xml:space="preserve">PMF_M8_1_c </t>
    <phoneticPr fontId="1" type="noConversion"/>
  </si>
  <si>
    <t>PMF_M8_2_a</t>
    <phoneticPr fontId="1" type="noConversion"/>
  </si>
  <si>
    <t xml:space="preserve">PMF_M8_2_b </t>
    <phoneticPr fontId="1" type="noConversion"/>
  </si>
  <si>
    <t xml:space="preserve">PMF_F8_1 </t>
    <phoneticPr fontId="1" type="noConversion"/>
  </si>
  <si>
    <t xml:space="preserve">TQITQ_M8 </t>
    <phoneticPr fontId="1" type="noConversion"/>
  </si>
  <si>
    <t>PMF_F8_2</t>
    <phoneticPr fontId="1" type="noConversion"/>
  </si>
  <si>
    <t>PMF_F8_0</t>
    <phoneticPr fontId="1" type="noConversion"/>
  </si>
  <si>
    <t>PMF_F8_1</t>
    <phoneticPr fontId="1" type="noConversion"/>
  </si>
  <si>
    <t>PMF C0 Round 0</t>
    <phoneticPr fontId="1" type="noConversion"/>
  </si>
  <si>
    <t>PMF C0 Round 1-3</t>
    <phoneticPr fontId="1" type="noConversion"/>
  </si>
  <si>
    <t xml:space="preserve">PMF_F8_0 </t>
    <phoneticPr fontId="1" type="noConversion"/>
  </si>
  <si>
    <t>PMF_M16_1_a</t>
    <phoneticPr fontId="1" type="noConversion"/>
  </si>
  <si>
    <t xml:space="preserve">PMF_M16_1_b </t>
    <phoneticPr fontId="1" type="noConversion"/>
  </si>
  <si>
    <t>PMF_F16_0</t>
  </si>
  <si>
    <t>PMF_M16_0_c</t>
  </si>
  <si>
    <t>PMF_M32_0_a</t>
  </si>
  <si>
    <t>PMF_M32_0_b</t>
  </si>
  <si>
    <t>PMF_F16_1</t>
  </si>
  <si>
    <t>PMF_M16_1_c</t>
  </si>
  <si>
    <t>PMF_M32_0_c</t>
  </si>
  <si>
    <t>PMF_F32_0</t>
  </si>
  <si>
    <t>PMF_F16_2</t>
  </si>
  <si>
    <t>PMF_M16_2_c</t>
  </si>
  <si>
    <t>PMF_M64_0</t>
  </si>
  <si>
    <t>PMF_M64_1</t>
  </si>
  <si>
    <t>PMF_F16_3</t>
  </si>
  <si>
    <t>PMF_M16_3_c</t>
  </si>
  <si>
    <t>PMF C1 round 0-3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</si>
</sst>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0" xfId="0" applyBorder="1">
      <alignment vertical="center"/>
    </xf>
    <xf numFmtId="0" fontId="0" fillId="0" borderId="2" xfId="0" applyBorder="1">
      <alignment vertical="center"/>
    </xf>
    <xf numFmtId="0" fontId="0" fillId="0" borderId="0" xfId="0" applyFill="1" applyBorder="1">
      <alignment vertical="center"/>
    </xf>
    <xf numFmtId="0" fontId="2" fillId="0" borderId="2" xfId="0" applyFont="1" applyBorder="1">
      <alignment vertical="center"/>
    </xf>
    <xf numFmtId="0" fontId="2" fillId="0" borderId="1" xfId="0" applyFont="1" applyBorder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39466-5853-41C3-ACC8-1F2734C6766C}">
  <dimension ref="A1:W44"/>
  <sheetViews>
    <sheetView topLeftCell="A15" workbookViewId="0">
      <selection activeCell="E44" sqref="E44"/>
    </sheetView>
  </sheetViews>
  <sheetFormatPr defaultRowHeight="14.25" x14ac:dyDescent="0.2"/>
  <cols>
    <col min="1" max="1" width="21.5" customWidth="1"/>
  </cols>
  <sheetData>
    <row r="1" spans="1:23" x14ac:dyDescent="0.2">
      <c r="A1" t="s">
        <v>0</v>
      </c>
      <c r="B1" t="s">
        <v>1</v>
      </c>
      <c r="P1" t="s">
        <v>31</v>
      </c>
      <c r="Q1" t="s">
        <v>16</v>
      </c>
      <c r="R1" t="s">
        <v>17</v>
      </c>
      <c r="S1" t="s">
        <v>18</v>
      </c>
      <c r="U1" t="s">
        <v>19</v>
      </c>
      <c r="V1" t="s">
        <v>21</v>
      </c>
      <c r="W1" t="s">
        <v>20</v>
      </c>
    </row>
    <row r="2" spans="1:23" x14ac:dyDescent="0.2">
      <c r="A2" t="s">
        <v>2</v>
      </c>
      <c r="B2" t="s">
        <v>3</v>
      </c>
      <c r="P2">
        <v>2</v>
      </c>
      <c r="Q2">
        <v>8</v>
      </c>
      <c r="R2">
        <v>2</v>
      </c>
      <c r="S2">
        <v>4</v>
      </c>
      <c r="U2">
        <v>4</v>
      </c>
      <c r="V2">
        <v>20</v>
      </c>
      <c r="W2">
        <v>1</v>
      </c>
    </row>
    <row r="3" spans="1:23" x14ac:dyDescent="0.2">
      <c r="A3" t="s">
        <v>4</v>
      </c>
      <c r="B3" t="s">
        <v>5</v>
      </c>
      <c r="P3">
        <v>2</v>
      </c>
      <c r="Q3">
        <v>8</v>
      </c>
      <c r="R3">
        <v>2</v>
      </c>
      <c r="S3">
        <v>4</v>
      </c>
      <c r="U3">
        <v>4</v>
      </c>
      <c r="V3">
        <v>20</v>
      </c>
      <c r="W3">
        <v>1</v>
      </c>
    </row>
    <row r="4" spans="1:23" x14ac:dyDescent="0.2">
      <c r="A4" t="s">
        <v>6</v>
      </c>
      <c r="B4" t="s">
        <v>7</v>
      </c>
      <c r="C4" t="s">
        <v>8</v>
      </c>
      <c r="D4" t="s">
        <v>9</v>
      </c>
      <c r="E4" t="s">
        <v>10</v>
      </c>
      <c r="F4" t="s">
        <v>11</v>
      </c>
      <c r="P4">
        <v>2</v>
      </c>
      <c r="Q4">
        <v>8</v>
      </c>
      <c r="R4">
        <v>2</v>
      </c>
      <c r="S4">
        <v>4</v>
      </c>
      <c r="U4">
        <v>4</v>
      </c>
      <c r="V4">
        <v>20</v>
      </c>
      <c r="W4">
        <v>1</v>
      </c>
    </row>
    <row r="5" spans="1:23" x14ac:dyDescent="0.2">
      <c r="A5" t="s">
        <v>38</v>
      </c>
      <c r="B5">
        <v>0</v>
      </c>
      <c r="C5">
        <f>B5+P2</f>
        <v>2</v>
      </c>
      <c r="D5">
        <f>C5+Q2</f>
        <v>10</v>
      </c>
      <c r="E5">
        <f>D5+R2</f>
        <v>12</v>
      </c>
      <c r="F5">
        <f>E5+S2</f>
        <v>16</v>
      </c>
      <c r="P5">
        <v>2</v>
      </c>
      <c r="Q5">
        <v>8</v>
      </c>
      <c r="R5">
        <v>2</v>
      </c>
      <c r="S5">
        <v>4</v>
      </c>
      <c r="U5">
        <v>4</v>
      </c>
      <c r="V5">
        <v>20</v>
      </c>
      <c r="W5">
        <v>1</v>
      </c>
    </row>
    <row r="6" spans="1:23" x14ac:dyDescent="0.2">
      <c r="A6" t="s">
        <v>39</v>
      </c>
      <c r="B6">
        <f>B5+8</f>
        <v>8</v>
      </c>
      <c r="C6">
        <f t="shared" ref="C6:C8" si="0">B6+P3</f>
        <v>10</v>
      </c>
      <c r="D6">
        <f t="shared" ref="D6:F6" si="1">D5+8</f>
        <v>18</v>
      </c>
      <c r="E6">
        <f t="shared" si="1"/>
        <v>20</v>
      </c>
      <c r="F6">
        <f t="shared" si="1"/>
        <v>24</v>
      </c>
      <c r="P6">
        <v>2</v>
      </c>
      <c r="Q6">
        <v>8</v>
      </c>
      <c r="R6">
        <v>2</v>
      </c>
      <c r="S6">
        <v>4</v>
      </c>
      <c r="U6">
        <v>4</v>
      </c>
      <c r="V6">
        <v>20</v>
      </c>
      <c r="W6">
        <v>1</v>
      </c>
    </row>
    <row r="7" spans="1:23" x14ac:dyDescent="0.2">
      <c r="A7" t="s">
        <v>40</v>
      </c>
      <c r="B7">
        <f>B6+8</f>
        <v>16</v>
      </c>
      <c r="C7">
        <f t="shared" si="0"/>
        <v>18</v>
      </c>
      <c r="D7">
        <f t="shared" ref="D7" si="2">D6+8</f>
        <v>26</v>
      </c>
      <c r="E7">
        <f t="shared" ref="E7" si="3">E6+8</f>
        <v>28</v>
      </c>
      <c r="F7">
        <f t="shared" ref="F7" si="4">F6+8</f>
        <v>32</v>
      </c>
      <c r="P7">
        <v>2</v>
      </c>
      <c r="Q7">
        <v>8</v>
      </c>
      <c r="R7">
        <v>2</v>
      </c>
      <c r="S7">
        <v>4</v>
      </c>
      <c r="U7">
        <v>4</v>
      </c>
      <c r="V7">
        <v>20</v>
      </c>
      <c r="W7">
        <v>1</v>
      </c>
    </row>
    <row r="8" spans="1:23" x14ac:dyDescent="0.2">
      <c r="A8" t="s">
        <v>15</v>
      </c>
      <c r="B8">
        <f>B7+8</f>
        <v>24</v>
      </c>
      <c r="C8">
        <f t="shared" si="0"/>
        <v>26</v>
      </c>
      <c r="D8">
        <f t="shared" ref="D8" si="5">D7+8</f>
        <v>34</v>
      </c>
      <c r="E8">
        <f t="shared" ref="E8" si="6">E7+8</f>
        <v>36</v>
      </c>
      <c r="F8">
        <f t="shared" ref="F8" si="7">F7+8</f>
        <v>40</v>
      </c>
    </row>
    <row r="9" spans="1:23" x14ac:dyDescent="0.2">
      <c r="A9" t="s">
        <v>41</v>
      </c>
      <c r="C9">
        <f>E5</f>
        <v>12</v>
      </c>
      <c r="D9">
        <f t="shared" ref="D9:F11" si="8">C9+U2</f>
        <v>16</v>
      </c>
      <c r="E9">
        <f t="shared" si="8"/>
        <v>36</v>
      </c>
      <c r="F9">
        <f t="shared" si="8"/>
        <v>37</v>
      </c>
    </row>
    <row r="10" spans="1:23" x14ac:dyDescent="0.2">
      <c r="A10" t="s">
        <v>42</v>
      </c>
      <c r="C10">
        <f>E6</f>
        <v>20</v>
      </c>
      <c r="D10">
        <f t="shared" si="8"/>
        <v>24</v>
      </c>
      <c r="E10">
        <f t="shared" si="8"/>
        <v>44</v>
      </c>
      <c r="F10">
        <f t="shared" si="8"/>
        <v>45</v>
      </c>
    </row>
    <row r="11" spans="1:23" x14ac:dyDescent="0.2">
      <c r="A11" t="s">
        <v>43</v>
      </c>
      <c r="C11">
        <f>E7</f>
        <v>28</v>
      </c>
      <c r="D11">
        <f t="shared" si="8"/>
        <v>32</v>
      </c>
      <c r="E11">
        <f t="shared" si="8"/>
        <v>52</v>
      </c>
      <c r="F11">
        <f t="shared" si="8"/>
        <v>53</v>
      </c>
    </row>
    <row r="12" spans="1:23" x14ac:dyDescent="0.2">
      <c r="A12" t="s">
        <v>12</v>
      </c>
      <c r="C12">
        <f>E8</f>
        <v>36</v>
      </c>
      <c r="D12">
        <f>C12+U3</f>
        <v>40</v>
      </c>
      <c r="E12">
        <f>D12+V3</f>
        <v>60</v>
      </c>
      <c r="F12">
        <f>E12+W3</f>
        <v>61</v>
      </c>
      <c r="Q12" t="s">
        <v>22</v>
      </c>
      <c r="R12" t="s">
        <v>23</v>
      </c>
      <c r="S12" t="s">
        <v>24</v>
      </c>
      <c r="U12" t="s">
        <v>25</v>
      </c>
      <c r="V12" t="s">
        <v>26</v>
      </c>
      <c r="W12" t="s">
        <v>27</v>
      </c>
    </row>
    <row r="13" spans="1:23" x14ac:dyDescent="0.2">
      <c r="A13" t="s">
        <v>13</v>
      </c>
      <c r="C13">
        <f>F12</f>
        <v>61</v>
      </c>
      <c r="D13">
        <f t="shared" ref="D13:F14" si="9">C13+Q13</f>
        <v>62</v>
      </c>
      <c r="E13">
        <f t="shared" si="9"/>
        <v>63</v>
      </c>
      <c r="F13">
        <f t="shared" si="9"/>
        <v>64</v>
      </c>
      <c r="Q13">
        <v>1</v>
      </c>
      <c r="R13">
        <v>1</v>
      </c>
      <c r="S13">
        <v>1</v>
      </c>
      <c r="U13">
        <v>1</v>
      </c>
      <c r="V13">
        <v>1</v>
      </c>
      <c r="W13">
        <v>1</v>
      </c>
    </row>
    <row r="14" spans="1:23" x14ac:dyDescent="0.2">
      <c r="A14" t="s">
        <v>14</v>
      </c>
      <c r="C14">
        <f>F13</f>
        <v>64</v>
      </c>
      <c r="D14">
        <f t="shared" si="9"/>
        <v>65</v>
      </c>
      <c r="E14">
        <f t="shared" si="9"/>
        <v>66</v>
      </c>
      <c r="F14">
        <f t="shared" si="9"/>
        <v>67</v>
      </c>
      <c r="Q14">
        <v>1</v>
      </c>
      <c r="R14">
        <v>1</v>
      </c>
      <c r="S14">
        <v>1</v>
      </c>
      <c r="U14">
        <v>1</v>
      </c>
      <c r="V14">
        <v>1</v>
      </c>
      <c r="W14">
        <v>1</v>
      </c>
    </row>
    <row r="15" spans="1:23" x14ac:dyDescent="0.2">
      <c r="A15" t="s">
        <v>44</v>
      </c>
      <c r="B15">
        <f>B8+8</f>
        <v>32</v>
      </c>
      <c r="C15">
        <f t="shared" ref="C15:F16" si="10">B15+P2</f>
        <v>34</v>
      </c>
      <c r="D15">
        <f t="shared" si="10"/>
        <v>42</v>
      </c>
      <c r="E15">
        <f t="shared" si="10"/>
        <v>44</v>
      </c>
      <c r="F15">
        <f t="shared" si="10"/>
        <v>48</v>
      </c>
      <c r="Q15">
        <v>1</v>
      </c>
      <c r="R15">
        <v>1</v>
      </c>
      <c r="S15">
        <v>1</v>
      </c>
      <c r="U15">
        <v>1</v>
      </c>
      <c r="V15">
        <v>1</v>
      </c>
      <c r="W15">
        <v>1</v>
      </c>
    </row>
    <row r="16" spans="1:23" x14ac:dyDescent="0.2">
      <c r="A16" t="s">
        <v>45</v>
      </c>
      <c r="B16">
        <f>B15+8</f>
        <v>40</v>
      </c>
      <c r="C16">
        <f t="shared" si="10"/>
        <v>42</v>
      </c>
      <c r="D16">
        <f t="shared" si="10"/>
        <v>50</v>
      </c>
      <c r="E16">
        <f t="shared" si="10"/>
        <v>52</v>
      </c>
      <c r="F16">
        <f t="shared" si="10"/>
        <v>56</v>
      </c>
      <c r="Q16">
        <v>1</v>
      </c>
      <c r="R16">
        <v>1</v>
      </c>
      <c r="S16">
        <v>1</v>
      </c>
      <c r="U16">
        <v>1</v>
      </c>
      <c r="V16">
        <v>1</v>
      </c>
      <c r="W16">
        <v>1</v>
      </c>
    </row>
    <row r="17" spans="1:19" x14ac:dyDescent="0.2">
      <c r="A17" t="s">
        <v>46</v>
      </c>
      <c r="C17">
        <f>E15</f>
        <v>44</v>
      </c>
      <c r="D17">
        <f t="shared" ref="D17:F18" si="11">C17+U2</f>
        <v>48</v>
      </c>
      <c r="E17">
        <f t="shared" si="11"/>
        <v>68</v>
      </c>
      <c r="F17">
        <f t="shared" si="11"/>
        <v>69</v>
      </c>
    </row>
    <row r="18" spans="1:19" x14ac:dyDescent="0.2">
      <c r="A18" t="s">
        <v>47</v>
      </c>
      <c r="C18">
        <f>E16</f>
        <v>52</v>
      </c>
      <c r="D18">
        <f t="shared" si="11"/>
        <v>56</v>
      </c>
      <c r="E18">
        <f t="shared" si="11"/>
        <v>76</v>
      </c>
      <c r="F18">
        <f t="shared" si="11"/>
        <v>77</v>
      </c>
    </row>
    <row r="19" spans="1:19" x14ac:dyDescent="0.2">
      <c r="A19" t="s">
        <v>49</v>
      </c>
      <c r="B19">
        <f>B16+8</f>
        <v>48</v>
      </c>
      <c r="C19">
        <f>B19+P25</f>
        <v>50</v>
      </c>
      <c r="D19">
        <f>C19+Q25</f>
        <v>73</v>
      </c>
      <c r="E19">
        <f>D19+R25</f>
        <v>60</v>
      </c>
      <c r="F19">
        <f>E19+S25</f>
        <v>76</v>
      </c>
    </row>
    <row r="20" spans="1:19" x14ac:dyDescent="0.2">
      <c r="A20" t="s">
        <v>29</v>
      </c>
      <c r="D20">
        <f>F14</f>
        <v>67</v>
      </c>
      <c r="E20">
        <f>D20+8</f>
        <v>75</v>
      </c>
      <c r="I20" t="s">
        <v>51</v>
      </c>
      <c r="Q20" t="s">
        <v>30</v>
      </c>
    </row>
    <row r="21" spans="1:19" x14ac:dyDescent="0.2">
      <c r="A21" t="s">
        <v>48</v>
      </c>
      <c r="B21">
        <f>E20</f>
        <v>75</v>
      </c>
      <c r="C21">
        <f t="shared" ref="C21:F22" si="12">B21+P2</f>
        <v>77</v>
      </c>
      <c r="D21">
        <f t="shared" si="12"/>
        <v>85</v>
      </c>
      <c r="E21">
        <f t="shared" si="12"/>
        <v>87</v>
      </c>
      <c r="F21">
        <f t="shared" si="12"/>
        <v>91</v>
      </c>
      <c r="Q21">
        <v>8</v>
      </c>
    </row>
    <row r="22" spans="1:19" x14ac:dyDescent="0.2">
      <c r="A22" t="s">
        <v>32</v>
      </c>
      <c r="B22">
        <f>B21+8</f>
        <v>83</v>
      </c>
      <c r="C22">
        <f t="shared" si="12"/>
        <v>85</v>
      </c>
      <c r="D22">
        <f t="shared" si="12"/>
        <v>93</v>
      </c>
      <c r="E22">
        <f t="shared" si="12"/>
        <v>95</v>
      </c>
      <c r="F22">
        <f t="shared" si="12"/>
        <v>99</v>
      </c>
    </row>
    <row r="23" spans="1:19" x14ac:dyDescent="0.2">
      <c r="A23" t="s">
        <v>28</v>
      </c>
      <c r="C23">
        <f>E21</f>
        <v>87</v>
      </c>
      <c r="D23">
        <f t="shared" ref="D23:F24" si="13">C23+U2</f>
        <v>91</v>
      </c>
      <c r="E23">
        <f t="shared" si="13"/>
        <v>111</v>
      </c>
      <c r="F23">
        <f t="shared" si="13"/>
        <v>112</v>
      </c>
    </row>
    <row r="24" spans="1:19" x14ac:dyDescent="0.2">
      <c r="A24" t="s">
        <v>12</v>
      </c>
      <c r="C24">
        <f>E22</f>
        <v>95</v>
      </c>
      <c r="D24">
        <f t="shared" si="13"/>
        <v>99</v>
      </c>
      <c r="E24">
        <f t="shared" si="13"/>
        <v>119</v>
      </c>
      <c r="F24">
        <f t="shared" si="13"/>
        <v>120</v>
      </c>
      <c r="P24" t="s">
        <v>31</v>
      </c>
      <c r="Q24" t="s">
        <v>33</v>
      </c>
      <c r="R24" t="s">
        <v>34</v>
      </c>
      <c r="S24" t="s">
        <v>35</v>
      </c>
    </row>
    <row r="25" spans="1:19" x14ac:dyDescent="0.2">
      <c r="A25" t="s">
        <v>13</v>
      </c>
      <c r="C25">
        <f>F24</f>
        <v>120</v>
      </c>
      <c r="D25">
        <f>C25+Q13</f>
        <v>121</v>
      </c>
      <c r="E25">
        <f>D25+R13</f>
        <v>122</v>
      </c>
      <c r="F25">
        <f>E25+S13</f>
        <v>123</v>
      </c>
      <c r="P25">
        <v>2</v>
      </c>
      <c r="Q25">
        <v>23</v>
      </c>
      <c r="R25">
        <v>-13</v>
      </c>
      <c r="S25">
        <v>16</v>
      </c>
    </row>
    <row r="26" spans="1:19" x14ac:dyDescent="0.2">
      <c r="A26" t="s">
        <v>14</v>
      </c>
      <c r="C26">
        <f>F25</f>
        <v>123</v>
      </c>
      <c r="D26">
        <f>C26+U13</f>
        <v>124</v>
      </c>
      <c r="E26">
        <f>D26+V13</f>
        <v>125</v>
      </c>
      <c r="F26">
        <f>E26+W13</f>
        <v>126</v>
      </c>
      <c r="P26">
        <v>2</v>
      </c>
      <c r="Q26">
        <v>23</v>
      </c>
      <c r="R26">
        <v>-13</v>
      </c>
      <c r="S26">
        <v>16</v>
      </c>
    </row>
    <row r="27" spans="1:19" x14ac:dyDescent="0.2">
      <c r="A27" t="s">
        <v>36</v>
      </c>
      <c r="B27">
        <f>B22+8</f>
        <v>91</v>
      </c>
      <c r="C27">
        <f t="shared" ref="C27:F28" si="14">B27+P2</f>
        <v>93</v>
      </c>
      <c r="D27">
        <f t="shared" si="14"/>
        <v>101</v>
      </c>
      <c r="E27">
        <f t="shared" si="14"/>
        <v>103</v>
      </c>
      <c r="F27">
        <f t="shared" si="14"/>
        <v>107</v>
      </c>
      <c r="P27">
        <v>2</v>
      </c>
      <c r="Q27">
        <v>23</v>
      </c>
      <c r="R27">
        <v>-13</v>
      </c>
      <c r="S27">
        <v>16</v>
      </c>
    </row>
    <row r="28" spans="1:19" x14ac:dyDescent="0.2">
      <c r="A28" t="s">
        <v>37</v>
      </c>
      <c r="B28">
        <f>B27+8</f>
        <v>99</v>
      </c>
      <c r="C28">
        <f t="shared" si="14"/>
        <v>101</v>
      </c>
      <c r="D28">
        <f t="shared" si="14"/>
        <v>109</v>
      </c>
      <c r="E28">
        <f t="shared" si="14"/>
        <v>111</v>
      </c>
      <c r="F28">
        <f t="shared" si="14"/>
        <v>115</v>
      </c>
      <c r="P28">
        <v>2</v>
      </c>
      <c r="Q28">
        <v>23</v>
      </c>
      <c r="R28">
        <v>-13</v>
      </c>
      <c r="S28">
        <v>16</v>
      </c>
    </row>
    <row r="29" spans="1:19" x14ac:dyDescent="0.2">
      <c r="A29" t="s">
        <v>50</v>
      </c>
      <c r="B29">
        <f>B28+8</f>
        <v>107</v>
      </c>
      <c r="C29">
        <f>B29+P25</f>
        <v>109</v>
      </c>
      <c r="D29">
        <f>C29+Q25</f>
        <v>132</v>
      </c>
      <c r="E29">
        <f>D29+R25</f>
        <v>119</v>
      </c>
      <c r="F29">
        <f>E29+S25</f>
        <v>135</v>
      </c>
      <c r="P29">
        <v>2</v>
      </c>
      <c r="Q29">
        <v>23</v>
      </c>
      <c r="R29">
        <v>-13</v>
      </c>
      <c r="S29">
        <v>16</v>
      </c>
    </row>
    <row r="30" spans="1:19" x14ac:dyDescent="0.2">
      <c r="A30" t="s">
        <v>29</v>
      </c>
      <c r="D30">
        <f>F26</f>
        <v>126</v>
      </c>
      <c r="E30">
        <f>D30+8</f>
        <v>134</v>
      </c>
      <c r="I30" t="s">
        <v>51</v>
      </c>
      <c r="P30">
        <v>2</v>
      </c>
      <c r="Q30">
        <v>23</v>
      </c>
      <c r="R30">
        <v>-13</v>
      </c>
      <c r="S30">
        <v>16</v>
      </c>
    </row>
    <row r="31" spans="1:19" x14ac:dyDescent="0.2">
      <c r="A31" t="s">
        <v>52</v>
      </c>
      <c r="B31">
        <f>E30</f>
        <v>134</v>
      </c>
      <c r="C31">
        <f t="shared" ref="C31:F32" si="15">B31+P2</f>
        <v>136</v>
      </c>
      <c r="D31">
        <f t="shared" si="15"/>
        <v>144</v>
      </c>
      <c r="E31">
        <f t="shared" si="15"/>
        <v>146</v>
      </c>
      <c r="F31">
        <f t="shared" si="15"/>
        <v>150</v>
      </c>
    </row>
    <row r="32" spans="1:19" x14ac:dyDescent="0.2">
      <c r="A32" t="s">
        <v>53</v>
      </c>
      <c r="B32">
        <f>B31+8</f>
        <v>142</v>
      </c>
      <c r="C32">
        <f t="shared" si="15"/>
        <v>144</v>
      </c>
      <c r="D32">
        <f t="shared" si="15"/>
        <v>152</v>
      </c>
      <c r="E32">
        <f t="shared" si="15"/>
        <v>154</v>
      </c>
      <c r="F32">
        <f t="shared" si="15"/>
        <v>158</v>
      </c>
    </row>
    <row r="33" spans="1:6" x14ac:dyDescent="0.2">
      <c r="A33" t="s">
        <v>54</v>
      </c>
      <c r="B33">
        <f>B32+8</f>
        <v>150</v>
      </c>
      <c r="C33">
        <f t="shared" ref="C33:F34" si="16">B33+P2</f>
        <v>152</v>
      </c>
      <c r="D33">
        <f t="shared" si="16"/>
        <v>160</v>
      </c>
      <c r="E33">
        <f t="shared" si="16"/>
        <v>162</v>
      </c>
      <c r="F33">
        <f t="shared" si="16"/>
        <v>166</v>
      </c>
    </row>
    <row r="34" spans="1:6" x14ac:dyDescent="0.2">
      <c r="A34" t="s">
        <v>55</v>
      </c>
      <c r="B34">
        <f>B33+8</f>
        <v>158</v>
      </c>
      <c r="C34">
        <f t="shared" si="16"/>
        <v>160</v>
      </c>
      <c r="D34">
        <f t="shared" si="16"/>
        <v>168</v>
      </c>
      <c r="E34">
        <f t="shared" si="16"/>
        <v>170</v>
      </c>
      <c r="F34">
        <f t="shared" si="16"/>
        <v>174</v>
      </c>
    </row>
    <row r="35" spans="1:6" x14ac:dyDescent="0.2">
      <c r="A35" t="s">
        <v>12</v>
      </c>
      <c r="C35">
        <f>E32</f>
        <v>154</v>
      </c>
      <c r="D35">
        <f>C35+U2</f>
        <v>158</v>
      </c>
      <c r="E35">
        <f>D35+V2</f>
        <v>178</v>
      </c>
      <c r="F35">
        <f>E35+W2</f>
        <v>179</v>
      </c>
    </row>
    <row r="36" spans="1:6" x14ac:dyDescent="0.2">
      <c r="A36" t="s">
        <v>13</v>
      </c>
      <c r="C36">
        <f>F35</f>
        <v>179</v>
      </c>
      <c r="D36">
        <f>C36+Q13</f>
        <v>180</v>
      </c>
      <c r="E36">
        <f t="shared" ref="E36:F36" si="17">D36+R13</f>
        <v>181</v>
      </c>
      <c r="F36">
        <f t="shared" si="17"/>
        <v>182</v>
      </c>
    </row>
    <row r="37" spans="1:6" x14ac:dyDescent="0.2">
      <c r="A37" t="s">
        <v>14</v>
      </c>
      <c r="C37">
        <f>F36</f>
        <v>182</v>
      </c>
      <c r="D37">
        <f>C37+Q14</f>
        <v>183</v>
      </c>
      <c r="E37">
        <f t="shared" ref="E37" si="18">D37+R14</f>
        <v>184</v>
      </c>
      <c r="F37">
        <f t="shared" ref="F37" si="19">E37+S14</f>
        <v>185</v>
      </c>
    </row>
    <row r="38" spans="1:6" x14ac:dyDescent="0.2">
      <c r="A38" t="s">
        <v>29</v>
      </c>
      <c r="D38">
        <f>F37</f>
        <v>185</v>
      </c>
      <c r="E38">
        <f>D38+8</f>
        <v>193</v>
      </c>
    </row>
    <row r="39" spans="1:6" x14ac:dyDescent="0.2">
      <c r="A39" t="s">
        <v>56</v>
      </c>
      <c r="B39">
        <f>E38</f>
        <v>193</v>
      </c>
      <c r="C39">
        <f>B39+P2</f>
        <v>195</v>
      </c>
      <c r="D39">
        <f t="shared" ref="D39:F39" si="20">C39+Q2</f>
        <v>203</v>
      </c>
      <c r="E39">
        <f t="shared" si="20"/>
        <v>205</v>
      </c>
      <c r="F39">
        <f t="shared" si="20"/>
        <v>209</v>
      </c>
    </row>
    <row r="40" spans="1:6" x14ac:dyDescent="0.2">
      <c r="A40" t="s">
        <v>57</v>
      </c>
      <c r="B40">
        <f>B39+8</f>
        <v>201</v>
      </c>
      <c r="C40">
        <f>B40+P3</f>
        <v>203</v>
      </c>
      <c r="D40">
        <f t="shared" ref="D40" si="21">C40+Q3</f>
        <v>211</v>
      </c>
      <c r="E40">
        <f t="shared" ref="E40" si="22">D40+R3</f>
        <v>213</v>
      </c>
      <c r="F40">
        <f t="shared" ref="F40" si="23">E40+S3</f>
        <v>217</v>
      </c>
    </row>
    <row r="41" spans="1:6" x14ac:dyDescent="0.2">
      <c r="A41" t="s">
        <v>12</v>
      </c>
      <c r="C41">
        <f>E40</f>
        <v>213</v>
      </c>
      <c r="D41">
        <f>C41+U2</f>
        <v>217</v>
      </c>
      <c r="E41">
        <f t="shared" ref="E41:F41" si="24">D41+V2</f>
        <v>237</v>
      </c>
      <c r="F41">
        <f t="shared" si="24"/>
        <v>238</v>
      </c>
    </row>
    <row r="42" spans="1:6" x14ac:dyDescent="0.2">
      <c r="A42" t="s">
        <v>13</v>
      </c>
      <c r="C42">
        <f>F41</f>
        <v>238</v>
      </c>
      <c r="D42">
        <f>C42+Q13</f>
        <v>239</v>
      </c>
      <c r="E42">
        <f t="shared" ref="E42:F42" si="25">D42+R13</f>
        <v>240</v>
      </c>
      <c r="F42">
        <f t="shared" si="25"/>
        <v>241</v>
      </c>
    </row>
    <row r="43" spans="1:6" x14ac:dyDescent="0.2">
      <c r="A43" t="s">
        <v>14</v>
      </c>
      <c r="C43">
        <f>F42</f>
        <v>241</v>
      </c>
      <c r="D43">
        <f>C43+U13</f>
        <v>242</v>
      </c>
      <c r="E43">
        <f t="shared" ref="E43:F43" si="26">D43+V13</f>
        <v>243</v>
      </c>
      <c r="F43">
        <f t="shared" si="26"/>
        <v>244</v>
      </c>
    </row>
    <row r="44" spans="1:6" x14ac:dyDescent="0.2">
      <c r="A44" t="s">
        <v>29</v>
      </c>
      <c r="D44">
        <f>F43</f>
        <v>244</v>
      </c>
      <c r="E44">
        <f>D44+8</f>
        <v>252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0EA44-5928-4D43-8882-95585CB1B17E}">
  <dimension ref="A1:AB39"/>
  <sheetViews>
    <sheetView workbookViewId="0">
      <selection activeCell="O26" sqref="O26"/>
    </sheetView>
  </sheetViews>
  <sheetFormatPr defaultRowHeight="14.25" x14ac:dyDescent="0.2"/>
  <cols>
    <col min="1" max="1" width="21.5" customWidth="1"/>
  </cols>
  <sheetData>
    <row r="1" spans="1:28" x14ac:dyDescent="0.2">
      <c r="A1" t="s">
        <v>0</v>
      </c>
      <c r="B1" t="s">
        <v>1</v>
      </c>
      <c r="H1" t="s">
        <v>22</v>
      </c>
      <c r="I1" t="s">
        <v>23</v>
      </c>
      <c r="J1" t="s">
        <v>24</v>
      </c>
      <c r="L1" t="s">
        <v>25</v>
      </c>
      <c r="M1" t="s">
        <v>26</v>
      </c>
      <c r="N1" t="s">
        <v>27</v>
      </c>
      <c r="P1" t="s">
        <v>31</v>
      </c>
      <c r="Q1" t="s">
        <v>16</v>
      </c>
      <c r="R1" t="s">
        <v>17</v>
      </c>
      <c r="S1" t="s">
        <v>18</v>
      </c>
      <c r="U1" t="s">
        <v>19</v>
      </c>
      <c r="V1" t="s">
        <v>21</v>
      </c>
      <c r="W1" t="s">
        <v>20</v>
      </c>
      <c r="Y1" t="s">
        <v>31</v>
      </c>
      <c r="Z1" t="s">
        <v>33</v>
      </c>
      <c r="AA1" t="s">
        <v>34</v>
      </c>
      <c r="AB1" t="s">
        <v>35</v>
      </c>
    </row>
    <row r="2" spans="1:28" x14ac:dyDescent="0.2">
      <c r="A2" t="s">
        <v>2</v>
      </c>
      <c r="B2" t="s">
        <v>3</v>
      </c>
      <c r="H2">
        <v>1</v>
      </c>
      <c r="I2">
        <v>1</v>
      </c>
      <c r="J2">
        <v>1</v>
      </c>
      <c r="L2">
        <v>1</v>
      </c>
      <c r="M2">
        <v>1</v>
      </c>
      <c r="N2">
        <v>1</v>
      </c>
      <c r="P2">
        <v>2</v>
      </c>
      <c r="Q2">
        <v>8</v>
      </c>
      <c r="R2">
        <v>2</v>
      </c>
      <c r="S2">
        <v>4</v>
      </c>
      <c r="U2">
        <v>4</v>
      </c>
      <c r="V2">
        <v>20</v>
      </c>
      <c r="W2">
        <v>1</v>
      </c>
      <c r="Y2">
        <v>2</v>
      </c>
      <c r="Z2">
        <v>23</v>
      </c>
      <c r="AA2">
        <v>-13</v>
      </c>
      <c r="AB2">
        <v>16</v>
      </c>
    </row>
    <row r="3" spans="1:28" x14ac:dyDescent="0.2">
      <c r="A3" t="s">
        <v>4</v>
      </c>
      <c r="B3" t="s">
        <v>5</v>
      </c>
    </row>
    <row r="4" spans="1:28" x14ac:dyDescent="0.2">
      <c r="A4" t="s">
        <v>6</v>
      </c>
      <c r="B4" t="s">
        <v>7</v>
      </c>
      <c r="C4" t="s">
        <v>8</v>
      </c>
      <c r="D4" t="s">
        <v>9</v>
      </c>
      <c r="E4" t="s">
        <v>10</v>
      </c>
      <c r="F4" t="s">
        <v>11</v>
      </c>
    </row>
    <row r="5" spans="1:28" x14ac:dyDescent="0.2">
      <c r="A5" t="s">
        <v>38</v>
      </c>
      <c r="B5">
        <v>0</v>
      </c>
      <c r="C5">
        <f>B5+$P$2</f>
        <v>2</v>
      </c>
      <c r="D5">
        <f>C5+$Q$2</f>
        <v>10</v>
      </c>
      <c r="E5">
        <f>D5+$R$2</f>
        <v>12</v>
      </c>
      <c r="F5">
        <f>E5+$S$2</f>
        <v>16</v>
      </c>
    </row>
    <row r="6" spans="1:28" x14ac:dyDescent="0.2">
      <c r="A6" t="s">
        <v>39</v>
      </c>
      <c r="B6">
        <f>B5+8</f>
        <v>8</v>
      </c>
      <c r="C6">
        <f t="shared" ref="C6:C8" si="0">B6+$P$2</f>
        <v>10</v>
      </c>
      <c r="D6">
        <f t="shared" ref="D6:D8" si="1">C6+$Q$2</f>
        <v>18</v>
      </c>
      <c r="E6">
        <f t="shared" ref="E6:E8" si="2">D6+$R$2</f>
        <v>20</v>
      </c>
      <c r="F6">
        <f t="shared" ref="F6:F8" si="3">E6+$S$2</f>
        <v>24</v>
      </c>
    </row>
    <row r="7" spans="1:28" x14ac:dyDescent="0.2">
      <c r="A7" t="s">
        <v>40</v>
      </c>
      <c r="B7">
        <f>B6+8</f>
        <v>16</v>
      </c>
      <c r="C7">
        <f t="shared" si="0"/>
        <v>18</v>
      </c>
      <c r="D7">
        <f t="shared" si="1"/>
        <v>26</v>
      </c>
      <c r="E7">
        <f t="shared" si="2"/>
        <v>28</v>
      </c>
      <c r="F7">
        <f t="shared" si="3"/>
        <v>32</v>
      </c>
    </row>
    <row r="8" spans="1:28" x14ac:dyDescent="0.2">
      <c r="A8" t="s">
        <v>15</v>
      </c>
      <c r="B8">
        <f>B7+8</f>
        <v>24</v>
      </c>
      <c r="C8">
        <f t="shared" si="0"/>
        <v>26</v>
      </c>
      <c r="D8">
        <f t="shared" si="1"/>
        <v>34</v>
      </c>
      <c r="E8">
        <f t="shared" si="2"/>
        <v>36</v>
      </c>
      <c r="F8">
        <f t="shared" si="3"/>
        <v>40</v>
      </c>
    </row>
    <row r="9" spans="1:28" x14ac:dyDescent="0.2">
      <c r="A9" t="s">
        <v>12</v>
      </c>
      <c r="C9">
        <f>E8</f>
        <v>36</v>
      </c>
      <c r="D9">
        <f>C9+$U$2</f>
        <v>40</v>
      </c>
      <c r="E9">
        <f>D9+$V$2</f>
        <v>60</v>
      </c>
      <c r="F9">
        <f>E9+$W$2</f>
        <v>61</v>
      </c>
    </row>
    <row r="10" spans="1:28" x14ac:dyDescent="0.2">
      <c r="A10" t="s">
        <v>13</v>
      </c>
      <c r="C10">
        <f>F9</f>
        <v>61</v>
      </c>
      <c r="D10">
        <f>C10+$H$2</f>
        <v>62</v>
      </c>
      <c r="E10">
        <f>D10+$I$2</f>
        <v>63</v>
      </c>
      <c r="F10">
        <f>E10+$J$2</f>
        <v>64</v>
      </c>
    </row>
    <row r="11" spans="1:28" x14ac:dyDescent="0.2">
      <c r="A11" t="s">
        <v>14</v>
      </c>
      <c r="C11">
        <f>F10</f>
        <v>64</v>
      </c>
      <c r="D11">
        <f>C11+$L$2</f>
        <v>65</v>
      </c>
      <c r="E11">
        <f>D11+$M$2</f>
        <v>66</v>
      </c>
      <c r="F11">
        <f>E11+$N$2</f>
        <v>67</v>
      </c>
    </row>
    <row r="12" spans="1:28" x14ac:dyDescent="0.2">
      <c r="A12" t="s">
        <v>44</v>
      </c>
      <c r="B12">
        <f>B8+8</f>
        <v>32</v>
      </c>
      <c r="C12">
        <f t="shared" ref="C12:C13" si="4">B12+$P$2</f>
        <v>34</v>
      </c>
      <c r="D12">
        <f t="shared" ref="D12:D13" si="5">C12+$Q$2</f>
        <v>42</v>
      </c>
      <c r="E12">
        <f t="shared" ref="E12:E13" si="6">D12+$R$2</f>
        <v>44</v>
      </c>
      <c r="F12">
        <f t="shared" ref="F12:F13" si="7">E12+$S$2</f>
        <v>48</v>
      </c>
    </row>
    <row r="13" spans="1:28" x14ac:dyDescent="0.2">
      <c r="A13" t="s">
        <v>45</v>
      </c>
      <c r="B13">
        <f>B12+8</f>
        <v>40</v>
      </c>
      <c r="C13">
        <f t="shared" si="4"/>
        <v>42</v>
      </c>
      <c r="D13">
        <f t="shared" si="5"/>
        <v>50</v>
      </c>
      <c r="E13">
        <f t="shared" si="6"/>
        <v>52</v>
      </c>
      <c r="F13">
        <f t="shared" si="7"/>
        <v>56</v>
      </c>
    </row>
    <row r="14" spans="1:28" x14ac:dyDescent="0.2">
      <c r="A14" t="s">
        <v>47</v>
      </c>
      <c r="C14">
        <f>E13</f>
        <v>52</v>
      </c>
      <c r="D14">
        <f>C14+$U$2</f>
        <v>56</v>
      </c>
      <c r="E14">
        <f>D14+$V$2</f>
        <v>76</v>
      </c>
      <c r="F14">
        <f>E14+$W$2</f>
        <v>77</v>
      </c>
    </row>
    <row r="15" spans="1:28" x14ac:dyDescent="0.2">
      <c r="A15" t="s">
        <v>49</v>
      </c>
      <c r="B15">
        <f>B13+8</f>
        <v>48</v>
      </c>
      <c r="C15">
        <f>B15+$Y$2</f>
        <v>50</v>
      </c>
      <c r="D15">
        <f>C15+$Z$2</f>
        <v>73</v>
      </c>
      <c r="E15">
        <f>D15+$AA$2</f>
        <v>60</v>
      </c>
      <c r="F15">
        <f>E15+$AB$2</f>
        <v>76</v>
      </c>
    </row>
    <row r="16" spans="1:28" x14ac:dyDescent="0.2">
      <c r="A16" t="s">
        <v>29</v>
      </c>
      <c r="D16">
        <f>F11</f>
        <v>67</v>
      </c>
      <c r="E16">
        <f>D16+8</f>
        <v>75</v>
      </c>
      <c r="I16" t="s">
        <v>51</v>
      </c>
    </row>
    <row r="17" spans="1:9" x14ac:dyDescent="0.2">
      <c r="A17" t="s">
        <v>48</v>
      </c>
      <c r="B17">
        <f>E16</f>
        <v>75</v>
      </c>
      <c r="C17">
        <f>B17+$P$2</f>
        <v>77</v>
      </c>
      <c r="D17">
        <f>C17+$Q$2</f>
        <v>85</v>
      </c>
      <c r="E17">
        <f>D17+$R$2</f>
        <v>87</v>
      </c>
      <c r="F17">
        <f>E17+$S$2</f>
        <v>91</v>
      </c>
    </row>
    <row r="18" spans="1:9" x14ac:dyDescent="0.2">
      <c r="A18" t="s">
        <v>32</v>
      </c>
      <c r="B18">
        <f>B17+8</f>
        <v>83</v>
      </c>
      <c r="C18">
        <f>B18+$P$2</f>
        <v>85</v>
      </c>
      <c r="D18">
        <f>C18+$Q$2</f>
        <v>93</v>
      </c>
      <c r="E18">
        <f>D18+$R$2</f>
        <v>95</v>
      </c>
      <c r="F18">
        <f>E18+$S$2</f>
        <v>99</v>
      </c>
    </row>
    <row r="19" spans="1:9" x14ac:dyDescent="0.2">
      <c r="A19" t="s">
        <v>12</v>
      </c>
      <c r="C19">
        <f>E18</f>
        <v>95</v>
      </c>
      <c r="D19">
        <f>C19+$U$2</f>
        <v>99</v>
      </c>
      <c r="E19">
        <f>D19+$V$2</f>
        <v>119</v>
      </c>
      <c r="F19">
        <f>E19+$W$2</f>
        <v>120</v>
      </c>
    </row>
    <row r="20" spans="1:9" x14ac:dyDescent="0.2">
      <c r="A20" t="s">
        <v>13</v>
      </c>
      <c r="C20">
        <f>F19</f>
        <v>120</v>
      </c>
      <c r="D20">
        <f>C20+$H$2</f>
        <v>121</v>
      </c>
      <c r="E20">
        <f>D20+$I$2</f>
        <v>122</v>
      </c>
      <c r="F20">
        <f>E20+$J$2</f>
        <v>123</v>
      </c>
    </row>
    <row r="21" spans="1:9" x14ac:dyDescent="0.2">
      <c r="A21" t="s">
        <v>14</v>
      </c>
      <c r="C21">
        <f>F20</f>
        <v>123</v>
      </c>
      <c r="D21">
        <f>C21+$L$2</f>
        <v>124</v>
      </c>
      <c r="E21">
        <f>D21+$M$2</f>
        <v>125</v>
      </c>
      <c r="F21">
        <f>E21+$N$2</f>
        <v>126</v>
      </c>
    </row>
    <row r="22" spans="1:9" x14ac:dyDescent="0.2">
      <c r="A22" t="s">
        <v>36</v>
      </c>
      <c r="B22">
        <f>B18+8</f>
        <v>91</v>
      </c>
      <c r="C22">
        <f>B22+$P$2</f>
        <v>93</v>
      </c>
      <c r="D22">
        <f>C22+$Q$2</f>
        <v>101</v>
      </c>
      <c r="E22">
        <f>D22+$R$2</f>
        <v>103</v>
      </c>
      <c r="F22">
        <f>E22+$S$2</f>
        <v>107</v>
      </c>
    </row>
    <row r="23" spans="1:9" x14ac:dyDescent="0.2">
      <c r="A23" t="s">
        <v>37</v>
      </c>
      <c r="B23">
        <f>B22+8</f>
        <v>99</v>
      </c>
      <c r="C23">
        <f>B23+$P$2</f>
        <v>101</v>
      </c>
      <c r="D23">
        <f>C23+$Q$2</f>
        <v>109</v>
      </c>
      <c r="E23">
        <f>D23+$R$2</f>
        <v>111</v>
      </c>
      <c r="F23">
        <f>E23+$S$2</f>
        <v>115</v>
      </c>
    </row>
    <row r="24" spans="1:9" x14ac:dyDescent="0.2">
      <c r="A24" t="s">
        <v>50</v>
      </c>
      <c r="B24">
        <f>B23+8</f>
        <v>107</v>
      </c>
      <c r="C24">
        <f>B24+$P$2</f>
        <v>109</v>
      </c>
      <c r="D24">
        <f>C24+$Q$2</f>
        <v>117</v>
      </c>
      <c r="E24">
        <f>D24+$R$2</f>
        <v>119</v>
      </c>
      <c r="F24">
        <f>E24+$S$2</f>
        <v>123</v>
      </c>
    </row>
    <row r="25" spans="1:9" x14ac:dyDescent="0.2">
      <c r="A25" t="s">
        <v>29</v>
      </c>
      <c r="D25">
        <f>F21</f>
        <v>126</v>
      </c>
      <c r="E25">
        <f>D25+8</f>
        <v>134</v>
      </c>
      <c r="I25" t="s">
        <v>51</v>
      </c>
    </row>
    <row r="26" spans="1:9" x14ac:dyDescent="0.2">
      <c r="A26" t="s">
        <v>52</v>
      </c>
      <c r="B26">
        <f>E25</f>
        <v>134</v>
      </c>
      <c r="C26">
        <f>B26+$P$2</f>
        <v>136</v>
      </c>
      <c r="D26">
        <f>C26+$Q$2</f>
        <v>144</v>
      </c>
      <c r="E26">
        <f>D26+$R$2</f>
        <v>146</v>
      </c>
      <c r="F26">
        <f>E26+$S$2</f>
        <v>150</v>
      </c>
    </row>
    <row r="27" spans="1:9" x14ac:dyDescent="0.2">
      <c r="A27" t="s">
        <v>53</v>
      </c>
      <c r="B27">
        <f>B26+8</f>
        <v>142</v>
      </c>
      <c r="C27">
        <f>B27+$P$2</f>
        <v>144</v>
      </c>
      <c r="D27">
        <f>C27+$Q$2</f>
        <v>152</v>
      </c>
      <c r="E27">
        <f>D27+$R$2</f>
        <v>154</v>
      </c>
      <c r="F27">
        <f>E27+$S$2</f>
        <v>158</v>
      </c>
    </row>
    <row r="28" spans="1:9" x14ac:dyDescent="0.2">
      <c r="A28" t="s">
        <v>54</v>
      </c>
      <c r="B28">
        <f>B27+8</f>
        <v>150</v>
      </c>
      <c r="C28">
        <f>B28+$P$2</f>
        <v>152</v>
      </c>
      <c r="D28">
        <f>C28+$Q$2</f>
        <v>160</v>
      </c>
      <c r="E28">
        <f>D28+$R$2</f>
        <v>162</v>
      </c>
      <c r="F28">
        <f>E28+$S$2</f>
        <v>166</v>
      </c>
    </row>
    <row r="29" spans="1:9" x14ac:dyDescent="0.2">
      <c r="A29" t="s">
        <v>55</v>
      </c>
      <c r="B29">
        <f>B28+8</f>
        <v>158</v>
      </c>
      <c r="C29">
        <f>B29+$P$2</f>
        <v>160</v>
      </c>
      <c r="D29">
        <f>C29+$Q$2</f>
        <v>168</v>
      </c>
      <c r="E29">
        <f>D29+$R$2</f>
        <v>170</v>
      </c>
      <c r="F29">
        <f>E29+$S$2</f>
        <v>174</v>
      </c>
    </row>
    <row r="30" spans="1:9" x14ac:dyDescent="0.2">
      <c r="A30" t="s">
        <v>12</v>
      </c>
      <c r="C30">
        <f>E27</f>
        <v>154</v>
      </c>
      <c r="D30">
        <f>C30+$U$2</f>
        <v>158</v>
      </c>
      <c r="E30">
        <f>D30+$V$2</f>
        <v>178</v>
      </c>
      <c r="F30">
        <f>E30+$W$2</f>
        <v>179</v>
      </c>
    </row>
    <row r="31" spans="1:9" x14ac:dyDescent="0.2">
      <c r="A31" t="s">
        <v>13</v>
      </c>
      <c r="C31">
        <f>F30</f>
        <v>179</v>
      </c>
      <c r="D31">
        <f>C31+$H$2</f>
        <v>180</v>
      </c>
      <c r="E31">
        <f>D31+$I$2</f>
        <v>181</v>
      </c>
      <c r="F31">
        <f>E31+$J$2</f>
        <v>182</v>
      </c>
    </row>
    <row r="32" spans="1:9" x14ac:dyDescent="0.2">
      <c r="A32" t="s">
        <v>14</v>
      </c>
      <c r="C32">
        <f>F31</f>
        <v>182</v>
      </c>
      <c r="D32">
        <f>C32+$L$2</f>
        <v>183</v>
      </c>
      <c r="E32">
        <f>D32+$M$2</f>
        <v>184</v>
      </c>
      <c r="F32">
        <f>E32+$N$2</f>
        <v>185</v>
      </c>
    </row>
    <row r="33" spans="1:6" x14ac:dyDescent="0.2">
      <c r="A33" t="s">
        <v>29</v>
      </c>
      <c r="D33">
        <f>F32</f>
        <v>185</v>
      </c>
      <c r="E33">
        <f>D33+8</f>
        <v>193</v>
      </c>
    </row>
    <row r="34" spans="1:6" x14ac:dyDescent="0.2">
      <c r="A34" t="s">
        <v>56</v>
      </c>
      <c r="B34">
        <f>E33</f>
        <v>193</v>
      </c>
      <c r="C34">
        <f>B34+$P$2</f>
        <v>195</v>
      </c>
      <c r="D34">
        <f>C34+$Q$2</f>
        <v>203</v>
      </c>
      <c r="E34">
        <f>D34+$R$2</f>
        <v>205</v>
      </c>
      <c r="F34">
        <f>E34+$S$2</f>
        <v>209</v>
      </c>
    </row>
    <row r="35" spans="1:6" x14ac:dyDescent="0.2">
      <c r="A35" t="s">
        <v>57</v>
      </c>
      <c r="B35">
        <f>B34+8</f>
        <v>201</v>
      </c>
      <c r="C35">
        <f>B35+$P$2</f>
        <v>203</v>
      </c>
      <c r="D35">
        <f>C35+$Q$2</f>
        <v>211</v>
      </c>
      <c r="E35">
        <f>D35+$R$2</f>
        <v>213</v>
      </c>
      <c r="F35">
        <f>E35+$S$2</f>
        <v>217</v>
      </c>
    </row>
    <row r="36" spans="1:6" x14ac:dyDescent="0.2">
      <c r="A36" t="s">
        <v>12</v>
      </c>
      <c r="C36">
        <f>E35</f>
        <v>213</v>
      </c>
      <c r="D36">
        <f>C36+$U$2</f>
        <v>217</v>
      </c>
      <c r="E36">
        <f>D36+$V$2</f>
        <v>237</v>
      </c>
      <c r="F36">
        <f>E36+$W$2</f>
        <v>238</v>
      </c>
    </row>
    <row r="37" spans="1:6" x14ac:dyDescent="0.2">
      <c r="A37" t="s">
        <v>13</v>
      </c>
      <c r="C37">
        <f>F36</f>
        <v>238</v>
      </c>
      <c r="D37">
        <f>C37+$H$2</f>
        <v>239</v>
      </c>
      <c r="E37">
        <f>D37+$I$2</f>
        <v>240</v>
      </c>
      <c r="F37">
        <f>E37+$J$2</f>
        <v>241</v>
      </c>
    </row>
    <row r="38" spans="1:6" x14ac:dyDescent="0.2">
      <c r="A38" t="s">
        <v>14</v>
      </c>
      <c r="C38">
        <f>F37</f>
        <v>241</v>
      </c>
      <c r="D38">
        <f>C38+$L$2</f>
        <v>242</v>
      </c>
      <c r="E38">
        <f>D38+$M$2</f>
        <v>243</v>
      </c>
      <c r="F38">
        <f>E38+$N$2</f>
        <v>244</v>
      </c>
    </row>
    <row r="39" spans="1:6" x14ac:dyDescent="0.2">
      <c r="A39" t="s">
        <v>29</v>
      </c>
      <c r="D39">
        <f>F38</f>
        <v>244</v>
      </c>
      <c r="E39">
        <f>D39+8</f>
        <v>252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E056F-CC02-4E3B-AB85-0764275BAE41}">
  <dimension ref="A1"/>
  <sheetViews>
    <sheetView workbookViewId="0"/>
  </sheetViews>
  <sheetFormatPr defaultRowHeight="14.25" x14ac:dyDescent="0.2"/>
  <sheetData/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61D32-D134-4872-8849-727E0AB1D28E}">
  <dimension ref="A1:AB63"/>
  <sheetViews>
    <sheetView workbookViewId="0">
      <selection activeCell="H35" sqref="A1:XFD1048576"/>
    </sheetView>
  </sheetViews>
  <sheetFormatPr defaultRowHeight="14.25" x14ac:dyDescent="0.2"/>
  <cols>
    <col min="1" max="1" width="21.5" customWidth="1"/>
    <col min="7" max="7" width="10.5" customWidth="1"/>
    <col min="17" max="17" width="11.125" customWidth="1"/>
    <col min="18" max="18" width="7.5" customWidth="1"/>
  </cols>
  <sheetData>
    <row r="1" spans="1:28" x14ac:dyDescent="0.2">
      <c r="A1" t="s">
        <v>0</v>
      </c>
      <c r="B1" t="s">
        <v>1</v>
      </c>
      <c r="H1" t="s">
        <v>22</v>
      </c>
      <c r="I1" t="s">
        <v>23</v>
      </c>
      <c r="J1" t="s">
        <v>24</v>
      </c>
      <c r="L1" t="s">
        <v>25</v>
      </c>
      <c r="M1" t="s">
        <v>26</v>
      </c>
      <c r="N1" t="s">
        <v>27</v>
      </c>
      <c r="P1" t="s">
        <v>31</v>
      </c>
      <c r="Q1" t="s">
        <v>58</v>
      </c>
      <c r="R1" t="s">
        <v>59</v>
      </c>
      <c r="S1" t="s">
        <v>60</v>
      </c>
      <c r="U1" t="s">
        <v>19</v>
      </c>
      <c r="V1" t="s">
        <v>21</v>
      </c>
      <c r="W1" t="s">
        <v>20</v>
      </c>
      <c r="Y1" t="s">
        <v>31</v>
      </c>
      <c r="Z1" t="s">
        <v>33</v>
      </c>
      <c r="AA1" t="s">
        <v>34</v>
      </c>
      <c r="AB1" t="s">
        <v>35</v>
      </c>
    </row>
    <row r="2" spans="1:28" x14ac:dyDescent="0.2">
      <c r="A2" t="s">
        <v>2</v>
      </c>
      <c r="B2" t="s">
        <v>3</v>
      </c>
      <c r="H2">
        <v>1</v>
      </c>
      <c r="I2">
        <v>1</v>
      </c>
      <c r="J2">
        <v>1</v>
      </c>
      <c r="L2">
        <v>1</v>
      </c>
      <c r="M2">
        <v>1</v>
      </c>
      <c r="N2">
        <v>1</v>
      </c>
      <c r="P2">
        <v>2</v>
      </c>
      <c r="Q2">
        <v>78</v>
      </c>
      <c r="R2">
        <v>-25</v>
      </c>
      <c r="S2">
        <v>64</v>
      </c>
      <c r="U2">
        <v>4</v>
      </c>
      <c r="V2">
        <v>19</v>
      </c>
      <c r="W2">
        <v>1</v>
      </c>
      <c r="Y2">
        <v>2</v>
      </c>
      <c r="Z2">
        <v>23</v>
      </c>
      <c r="AA2">
        <v>-9</v>
      </c>
      <c r="AB2">
        <v>16</v>
      </c>
    </row>
    <row r="3" spans="1:28" x14ac:dyDescent="0.2">
      <c r="A3" t="s">
        <v>4</v>
      </c>
      <c r="B3" t="s">
        <v>5</v>
      </c>
    </row>
    <row r="4" spans="1:28" x14ac:dyDescent="0.2">
      <c r="A4" t="s">
        <v>6</v>
      </c>
      <c r="B4" t="s">
        <v>7</v>
      </c>
      <c r="C4" t="s">
        <v>8</v>
      </c>
      <c r="D4" t="s">
        <v>9</v>
      </c>
      <c r="E4" t="s">
        <v>10</v>
      </c>
      <c r="F4" t="s">
        <v>11</v>
      </c>
    </row>
    <row r="5" spans="1:28" x14ac:dyDescent="0.2">
      <c r="A5" t="s">
        <v>62</v>
      </c>
      <c r="B5">
        <v>0</v>
      </c>
      <c r="C5">
        <f>B5+$Y$2</f>
        <v>2</v>
      </c>
      <c r="D5">
        <f>C5+$Z$2</f>
        <v>25</v>
      </c>
      <c r="E5">
        <f>D5+$AA$2</f>
        <v>16</v>
      </c>
      <c r="F5">
        <f>E5+$AB$2</f>
        <v>32</v>
      </c>
    </row>
    <row r="6" spans="1:28" x14ac:dyDescent="0.2">
      <c r="A6" t="s">
        <v>61</v>
      </c>
      <c r="B6">
        <f t="shared" ref="B6:B50" si="0">D5-2</f>
        <v>23</v>
      </c>
      <c r="C6">
        <f>B6+$Y$2</f>
        <v>25</v>
      </c>
      <c r="D6">
        <f>C6+$Z$2</f>
        <v>48</v>
      </c>
      <c r="E6">
        <f>D6+$AA$2</f>
        <v>39</v>
      </c>
      <c r="F6">
        <f>E6+$AB$2</f>
        <v>55</v>
      </c>
    </row>
    <row r="7" spans="1:28" x14ac:dyDescent="0.2">
      <c r="A7" t="s">
        <v>63</v>
      </c>
      <c r="B7">
        <f t="shared" si="0"/>
        <v>46</v>
      </c>
      <c r="C7">
        <f>B7+$P$2</f>
        <v>48</v>
      </c>
      <c r="D7">
        <f>C7+$Q$2</f>
        <v>126</v>
      </c>
      <c r="E7">
        <f>D7+$R$2</f>
        <v>101</v>
      </c>
      <c r="F7">
        <f>E7+$S$2</f>
        <v>165</v>
      </c>
      <c r="H7" t="s">
        <v>88</v>
      </c>
    </row>
    <row r="8" spans="1:28" x14ac:dyDescent="0.2">
      <c r="A8" t="s">
        <v>64</v>
      </c>
      <c r="B8">
        <f t="shared" si="0"/>
        <v>124</v>
      </c>
      <c r="C8">
        <f>B8+$P$2</f>
        <v>126</v>
      </c>
      <c r="D8">
        <f>C8+$Q$2</f>
        <v>204</v>
      </c>
      <c r="E8">
        <f>D8+$R$2</f>
        <v>179</v>
      </c>
      <c r="F8">
        <f>E8+$S$2</f>
        <v>243</v>
      </c>
    </row>
    <row r="9" spans="1:28" x14ac:dyDescent="0.2">
      <c r="A9" t="s">
        <v>65</v>
      </c>
      <c r="B9">
        <f t="shared" si="0"/>
        <v>202</v>
      </c>
      <c r="C9">
        <f>B9+$Y$2</f>
        <v>204</v>
      </c>
      <c r="D9">
        <f>C9+$Z$2</f>
        <v>227</v>
      </c>
      <c r="E9">
        <f>D9+$AA$2</f>
        <v>218</v>
      </c>
      <c r="F9">
        <f>E9+$AB$2</f>
        <v>234</v>
      </c>
    </row>
    <row r="10" spans="1:28" x14ac:dyDescent="0.2">
      <c r="A10" t="s">
        <v>66</v>
      </c>
      <c r="B10">
        <f t="shared" si="0"/>
        <v>225</v>
      </c>
      <c r="C10">
        <f>B10+$Y$2</f>
        <v>227</v>
      </c>
      <c r="D10">
        <f>C10+$Z$2</f>
        <v>250</v>
      </c>
      <c r="E10">
        <f>D10+$AA$2</f>
        <v>241</v>
      </c>
      <c r="F10">
        <f>E10+$AB$2</f>
        <v>257</v>
      </c>
    </row>
    <row r="11" spans="1:28" x14ac:dyDescent="0.2">
      <c r="A11" t="s">
        <v>67</v>
      </c>
      <c r="B11">
        <f t="shared" si="0"/>
        <v>248</v>
      </c>
      <c r="C11">
        <f>B11+$P$2</f>
        <v>250</v>
      </c>
      <c r="D11">
        <f>C11+$Q$2</f>
        <v>328</v>
      </c>
      <c r="E11">
        <f>D11+$R$2</f>
        <v>303</v>
      </c>
      <c r="F11">
        <f>E11+$S$2</f>
        <v>367</v>
      </c>
    </row>
    <row r="12" spans="1:28" x14ac:dyDescent="0.2">
      <c r="A12" t="s">
        <v>68</v>
      </c>
      <c r="B12">
        <f t="shared" si="0"/>
        <v>326</v>
      </c>
      <c r="C12">
        <f>B12+$P$2</f>
        <v>328</v>
      </c>
      <c r="D12">
        <f>C12+$Q$2</f>
        <v>406</v>
      </c>
      <c r="E12">
        <f>D12+$R$2</f>
        <v>381</v>
      </c>
      <c r="F12">
        <f>E12+$S$2</f>
        <v>445</v>
      </c>
    </row>
    <row r="13" spans="1:28" x14ac:dyDescent="0.2">
      <c r="A13" t="s">
        <v>69</v>
      </c>
      <c r="B13">
        <f t="shared" si="0"/>
        <v>404</v>
      </c>
      <c r="C13">
        <f>B13+$Y$2</f>
        <v>406</v>
      </c>
      <c r="D13">
        <f>C13+$Z$2</f>
        <v>429</v>
      </c>
      <c r="E13">
        <f>D13+$AA$2</f>
        <v>420</v>
      </c>
      <c r="F13">
        <f>E13+$AB$2</f>
        <v>436</v>
      </c>
    </row>
    <row r="14" spans="1:28" x14ac:dyDescent="0.2">
      <c r="A14" t="s">
        <v>70</v>
      </c>
      <c r="B14">
        <f t="shared" si="0"/>
        <v>427</v>
      </c>
      <c r="C14">
        <f>B14+$Y$2</f>
        <v>429</v>
      </c>
      <c r="D14">
        <f>C14+$Z$2</f>
        <v>452</v>
      </c>
      <c r="E14">
        <f>D14+$AA$2</f>
        <v>443</v>
      </c>
      <c r="F14">
        <f>E14+$AB$2</f>
        <v>459</v>
      </c>
    </row>
    <row r="15" spans="1:28" x14ac:dyDescent="0.2">
      <c r="A15" t="s">
        <v>72</v>
      </c>
      <c r="B15">
        <f t="shared" si="0"/>
        <v>450</v>
      </c>
      <c r="C15">
        <f>B15+$P$2</f>
        <v>452</v>
      </c>
      <c r="D15">
        <f>C15+$Q$2</f>
        <v>530</v>
      </c>
      <c r="E15">
        <f>D15+$R$2</f>
        <v>505</v>
      </c>
      <c r="F15">
        <f>E15+$S$2</f>
        <v>569</v>
      </c>
      <c r="H15" t="s">
        <v>71</v>
      </c>
    </row>
    <row r="16" spans="1:28" x14ac:dyDescent="0.2">
      <c r="A16" t="s">
        <v>73</v>
      </c>
      <c r="B16">
        <f t="shared" si="0"/>
        <v>528</v>
      </c>
      <c r="C16">
        <f>B16+$P$2</f>
        <v>530</v>
      </c>
      <c r="D16">
        <f>C16+$Q$2</f>
        <v>608</v>
      </c>
      <c r="E16">
        <f>D16+$R$2</f>
        <v>583</v>
      </c>
      <c r="F16">
        <f>E16+$S$2</f>
        <v>647</v>
      </c>
    </row>
    <row r="17" spans="1:8" x14ac:dyDescent="0.2">
      <c r="A17" t="s">
        <v>74</v>
      </c>
      <c r="B17">
        <f t="shared" si="0"/>
        <v>606</v>
      </c>
      <c r="C17">
        <f>B17+$Y$2</f>
        <v>608</v>
      </c>
      <c r="D17">
        <f>C17+$Z$2</f>
        <v>631</v>
      </c>
      <c r="E17">
        <f>D17+$AA$2</f>
        <v>622</v>
      </c>
      <c r="F17">
        <f>E17+$AB$2</f>
        <v>638</v>
      </c>
    </row>
    <row r="18" spans="1:8" x14ac:dyDescent="0.2">
      <c r="A18" s="1" t="s">
        <v>75</v>
      </c>
      <c r="B18" s="1">
        <f t="shared" si="0"/>
        <v>629</v>
      </c>
      <c r="C18" s="1">
        <f>B18+$Y$2</f>
        <v>631</v>
      </c>
      <c r="D18" s="1">
        <f>C18+$Z$2</f>
        <v>654</v>
      </c>
      <c r="E18" s="1">
        <f>D18+$AA$2</f>
        <v>645</v>
      </c>
      <c r="F18" s="1">
        <f>E18+$AB$2</f>
        <v>661</v>
      </c>
    </row>
    <row r="19" spans="1:8" x14ac:dyDescent="0.2">
      <c r="A19" s="3" t="s">
        <v>76</v>
      </c>
      <c r="B19" s="3">
        <f t="shared" si="0"/>
        <v>652</v>
      </c>
      <c r="C19" s="3">
        <f>B19+$P$2</f>
        <v>654</v>
      </c>
      <c r="D19" s="3">
        <f>C19+$Q$2</f>
        <v>732</v>
      </c>
      <c r="E19" s="3">
        <f>D19+$R$2</f>
        <v>707</v>
      </c>
      <c r="F19" s="3">
        <f>E19+$S$2</f>
        <v>771</v>
      </c>
    </row>
    <row r="20" spans="1:8" x14ac:dyDescent="0.2">
      <c r="A20" s="1" t="s">
        <v>77</v>
      </c>
      <c r="B20" s="1">
        <f t="shared" si="0"/>
        <v>730</v>
      </c>
      <c r="C20" s="1">
        <f>B20+$P$2</f>
        <v>732</v>
      </c>
      <c r="D20" s="1">
        <f>C20+$Q$2</f>
        <v>810</v>
      </c>
      <c r="E20" s="1">
        <f>D20+$R$2</f>
        <v>785</v>
      </c>
      <c r="F20" s="1">
        <f>E20+$S$2</f>
        <v>849</v>
      </c>
      <c r="H20" t="s">
        <v>78</v>
      </c>
    </row>
    <row r="21" spans="1:8" x14ac:dyDescent="0.2">
      <c r="A21" s="2" t="s">
        <v>62</v>
      </c>
      <c r="B21" s="2">
        <f t="shared" si="0"/>
        <v>808</v>
      </c>
      <c r="C21" s="2">
        <f>B21+$Y$2</f>
        <v>810</v>
      </c>
      <c r="D21" s="2">
        <f>C21+$Z$2</f>
        <v>833</v>
      </c>
      <c r="E21" s="2">
        <f>D21+$AA$2</f>
        <v>824</v>
      </c>
      <c r="F21" s="2">
        <f>E21+$AB$2</f>
        <v>840</v>
      </c>
      <c r="H21" t="s">
        <v>79</v>
      </c>
    </row>
    <row r="22" spans="1:8" x14ac:dyDescent="0.2">
      <c r="A22" s="2" t="s">
        <v>61</v>
      </c>
      <c r="B22" s="2">
        <f t="shared" si="0"/>
        <v>831</v>
      </c>
      <c r="C22" s="2">
        <f>B22+$Y$2</f>
        <v>833</v>
      </c>
      <c r="D22" s="2">
        <f>C22+$Z$2</f>
        <v>856</v>
      </c>
      <c r="E22" s="2">
        <f>D22+$AA$2</f>
        <v>847</v>
      </c>
      <c r="F22" s="2">
        <f>E22+$AB$2</f>
        <v>863</v>
      </c>
    </row>
    <row r="23" spans="1:8" x14ac:dyDescent="0.2">
      <c r="A23" s="2" t="s">
        <v>80</v>
      </c>
      <c r="B23" s="2">
        <f t="shared" si="0"/>
        <v>854</v>
      </c>
      <c r="C23" s="2">
        <f>B23+$P$2</f>
        <v>856</v>
      </c>
      <c r="D23" s="2">
        <f>C23+$Q$2</f>
        <v>934</v>
      </c>
      <c r="E23" s="2">
        <f>D23+$R$2</f>
        <v>909</v>
      </c>
      <c r="F23" s="2">
        <f>E23+$S$2</f>
        <v>973</v>
      </c>
    </row>
    <row r="24" spans="1:8" x14ac:dyDescent="0.2">
      <c r="A24" s="2" t="s">
        <v>82</v>
      </c>
      <c r="B24" s="2">
        <f t="shared" si="0"/>
        <v>932</v>
      </c>
      <c r="C24" s="2">
        <f>B24+$P$2</f>
        <v>934</v>
      </c>
      <c r="D24" s="2">
        <f>C24+$Q$2</f>
        <v>1012</v>
      </c>
      <c r="E24" s="2">
        <f>D24+$R$2</f>
        <v>987</v>
      </c>
      <c r="F24" s="2">
        <f>E24+$S$2</f>
        <v>1051</v>
      </c>
    </row>
    <row r="25" spans="1:8" x14ac:dyDescent="0.2">
      <c r="A25" s="2" t="s">
        <v>65</v>
      </c>
      <c r="B25" s="2">
        <f t="shared" si="0"/>
        <v>1010</v>
      </c>
      <c r="C25" s="2">
        <f>B25+$Y$2</f>
        <v>1012</v>
      </c>
      <c r="D25" s="2">
        <f>C25+$Z$2</f>
        <v>1035</v>
      </c>
      <c r="E25" s="2">
        <f>D25+$AA$2</f>
        <v>1026</v>
      </c>
      <c r="F25" s="2">
        <f>E25+$AB$2</f>
        <v>1042</v>
      </c>
    </row>
    <row r="26" spans="1:8" x14ac:dyDescent="0.2">
      <c r="A26" s="2" t="s">
        <v>66</v>
      </c>
      <c r="B26" s="2">
        <f t="shared" si="0"/>
        <v>1033</v>
      </c>
      <c r="C26" s="2">
        <f>B26+$Y$2</f>
        <v>1035</v>
      </c>
      <c r="D26" s="2">
        <f>C26+$Z$2</f>
        <v>1058</v>
      </c>
      <c r="E26" s="2">
        <f>D26+$AA$2</f>
        <v>1049</v>
      </c>
      <c r="F26" s="2">
        <f>E26+$AB$2</f>
        <v>1065</v>
      </c>
    </row>
    <row r="27" spans="1:8" x14ac:dyDescent="0.2">
      <c r="A27" s="2" t="s">
        <v>81</v>
      </c>
      <c r="B27" s="2">
        <f t="shared" si="0"/>
        <v>1056</v>
      </c>
      <c r="C27" s="2">
        <f>B27+$P$2</f>
        <v>1058</v>
      </c>
      <c r="D27" s="2">
        <f>C27+$Q$2</f>
        <v>1136</v>
      </c>
      <c r="E27" s="2">
        <f>D27+$R$2</f>
        <v>1111</v>
      </c>
      <c r="F27" s="2">
        <f>E27+$S$2</f>
        <v>1175</v>
      </c>
    </row>
    <row r="28" spans="1:8" x14ac:dyDescent="0.2">
      <c r="A28" s="2" t="s">
        <v>83</v>
      </c>
      <c r="B28" s="2">
        <f t="shared" si="0"/>
        <v>1134</v>
      </c>
      <c r="C28" s="2">
        <f>B28+$P$2</f>
        <v>1136</v>
      </c>
      <c r="D28" s="2">
        <f>C28+$Q$2</f>
        <v>1214</v>
      </c>
      <c r="E28" s="2">
        <f>D28+$R$2</f>
        <v>1189</v>
      </c>
      <c r="F28" s="2">
        <f>E28+$S$2</f>
        <v>1253</v>
      </c>
    </row>
    <row r="29" spans="1:8" x14ac:dyDescent="0.2">
      <c r="A29" s="2" t="s">
        <v>69</v>
      </c>
      <c r="B29" s="2">
        <f t="shared" si="0"/>
        <v>1212</v>
      </c>
      <c r="C29" s="2">
        <f>B29+$Y$2</f>
        <v>1214</v>
      </c>
      <c r="D29" s="2">
        <f>C29+$Z$2</f>
        <v>1237</v>
      </c>
      <c r="E29" s="2">
        <f>D29+$AA$2</f>
        <v>1228</v>
      </c>
      <c r="F29" s="2">
        <f>E29+$AB$2</f>
        <v>1244</v>
      </c>
    </row>
    <row r="30" spans="1:8" x14ac:dyDescent="0.2">
      <c r="A30" s="2" t="s">
        <v>70</v>
      </c>
      <c r="B30" s="2">
        <f t="shared" si="0"/>
        <v>1235</v>
      </c>
      <c r="C30" s="2">
        <f>B30+$Y$2</f>
        <v>1237</v>
      </c>
      <c r="D30" s="2">
        <f>C30+$Z$2</f>
        <v>1260</v>
      </c>
      <c r="E30" s="2">
        <f>D30+$AA$2</f>
        <v>1251</v>
      </c>
      <c r="F30" s="2">
        <f>E30+$AB$2</f>
        <v>1267</v>
      </c>
    </row>
    <row r="31" spans="1:8" x14ac:dyDescent="0.2">
      <c r="A31" s="2" t="s">
        <v>89</v>
      </c>
      <c r="B31" s="2">
        <f t="shared" si="0"/>
        <v>1258</v>
      </c>
      <c r="C31" s="2">
        <f>B31+$P$2</f>
        <v>1260</v>
      </c>
      <c r="D31" s="2">
        <f>C31+$Q$2</f>
        <v>1338</v>
      </c>
      <c r="E31" s="2">
        <f>D31+$R$2</f>
        <v>1313</v>
      </c>
      <c r="F31" s="2">
        <f>E31+$S$2</f>
        <v>1377</v>
      </c>
    </row>
    <row r="32" spans="1:8" x14ac:dyDescent="0.2">
      <c r="A32" s="2" t="s">
        <v>90</v>
      </c>
      <c r="B32" s="2">
        <f t="shared" si="0"/>
        <v>1336</v>
      </c>
      <c r="C32" s="2">
        <f>B32+$P$2</f>
        <v>1338</v>
      </c>
      <c r="D32" s="2">
        <f>C32+$Q$2</f>
        <v>1416</v>
      </c>
      <c r="E32" s="2">
        <f>D32+$R$2</f>
        <v>1391</v>
      </c>
      <c r="F32" s="2">
        <f>E32+$S$2</f>
        <v>1455</v>
      </c>
    </row>
    <row r="33" spans="1:6" x14ac:dyDescent="0.2">
      <c r="A33" s="2" t="s">
        <v>74</v>
      </c>
      <c r="B33" s="2">
        <f t="shared" si="0"/>
        <v>1414</v>
      </c>
      <c r="C33" s="2">
        <f>B33+$Y$2</f>
        <v>1416</v>
      </c>
      <c r="D33" s="2">
        <f>C33+$Z$2</f>
        <v>1439</v>
      </c>
      <c r="E33" s="2">
        <f>D33+$AA$2</f>
        <v>1430</v>
      </c>
      <c r="F33" s="2">
        <f>E33+$AB$2</f>
        <v>1446</v>
      </c>
    </row>
    <row r="34" spans="1:6" x14ac:dyDescent="0.2">
      <c r="A34" s="1" t="s">
        <v>75</v>
      </c>
      <c r="B34" s="1">
        <f t="shared" si="0"/>
        <v>1437</v>
      </c>
      <c r="C34" s="1">
        <f>B34+$Y$2</f>
        <v>1439</v>
      </c>
      <c r="D34" s="1">
        <f>C34+$Z$2</f>
        <v>1462</v>
      </c>
      <c r="E34" s="1">
        <f>D34+$AA$2</f>
        <v>1453</v>
      </c>
      <c r="F34" s="1">
        <f>E34+$AB$2</f>
        <v>1469</v>
      </c>
    </row>
    <row r="35" spans="1:6" x14ac:dyDescent="0.2">
      <c r="A35" s="5" t="s">
        <v>91</v>
      </c>
      <c r="B35" s="5">
        <f t="shared" si="0"/>
        <v>1460</v>
      </c>
      <c r="C35" s="5">
        <f>B35+$P$2</f>
        <v>1462</v>
      </c>
      <c r="D35" s="5">
        <f>C35+$Q$2</f>
        <v>1540</v>
      </c>
      <c r="E35" s="5">
        <f>D35+$R$2</f>
        <v>1515</v>
      </c>
      <c r="F35" s="5">
        <f>E35+$S$2</f>
        <v>1579</v>
      </c>
    </row>
    <row r="36" spans="1:6" x14ac:dyDescent="0.2">
      <c r="A36" s="6" t="s">
        <v>92</v>
      </c>
      <c r="B36" s="6">
        <f t="shared" si="0"/>
        <v>1538</v>
      </c>
      <c r="C36" s="6">
        <f>B36+$P$2</f>
        <v>1540</v>
      </c>
      <c r="D36" s="6">
        <f>C36+$Q$2</f>
        <v>1618</v>
      </c>
      <c r="E36" s="6">
        <f>D36+$R$2</f>
        <v>1593</v>
      </c>
      <c r="F36" s="6">
        <f>E36+$S$2</f>
        <v>1657</v>
      </c>
    </row>
    <row r="37" spans="1:6" x14ac:dyDescent="0.2">
      <c r="A37" s="2" t="s">
        <v>62</v>
      </c>
      <c r="B37" s="2">
        <f t="shared" si="0"/>
        <v>1616</v>
      </c>
      <c r="C37" s="2">
        <f>B37+$Y$2</f>
        <v>1618</v>
      </c>
      <c r="D37" s="2">
        <f>C37+$Z$2</f>
        <v>1641</v>
      </c>
      <c r="E37" s="2">
        <f>D37+$AA$2</f>
        <v>1632</v>
      </c>
      <c r="F37" s="2">
        <f>E37+$AB$2</f>
        <v>1648</v>
      </c>
    </row>
    <row r="38" spans="1:6" x14ac:dyDescent="0.2">
      <c r="A38" s="2" t="s">
        <v>61</v>
      </c>
      <c r="B38" s="2">
        <f t="shared" si="0"/>
        <v>1639</v>
      </c>
      <c r="C38" s="2">
        <f>B38+$Y$2</f>
        <v>1641</v>
      </c>
      <c r="D38" s="2">
        <f>C38+$Z$2</f>
        <v>1664</v>
      </c>
      <c r="E38" s="2">
        <f>D38+$AA$2</f>
        <v>1655</v>
      </c>
      <c r="F38" s="2">
        <f>E38+$AB$2</f>
        <v>1671</v>
      </c>
    </row>
    <row r="39" spans="1:6" x14ac:dyDescent="0.2">
      <c r="A39" s="2" t="s">
        <v>93</v>
      </c>
      <c r="B39" s="2">
        <f t="shared" si="0"/>
        <v>1662</v>
      </c>
      <c r="C39" s="2">
        <f>B39+$P$2</f>
        <v>1664</v>
      </c>
      <c r="D39" s="2">
        <f>C39+$Q$2</f>
        <v>1742</v>
      </c>
      <c r="E39" s="2">
        <f>D39+$R$2</f>
        <v>1717</v>
      </c>
      <c r="F39" s="2">
        <f>E39+$S$2</f>
        <v>1781</v>
      </c>
    </row>
    <row r="40" spans="1:6" x14ac:dyDescent="0.2">
      <c r="A40" s="2" t="s">
        <v>94</v>
      </c>
      <c r="B40" s="2">
        <f t="shared" si="0"/>
        <v>1740</v>
      </c>
      <c r="C40" s="2">
        <f>B40+$P$2</f>
        <v>1742</v>
      </c>
      <c r="D40" s="2">
        <f>C40+$Q$2</f>
        <v>1820</v>
      </c>
      <c r="E40" s="2">
        <f>D40+$R$2</f>
        <v>1795</v>
      </c>
      <c r="F40" s="2">
        <f>E40+$S$2</f>
        <v>1859</v>
      </c>
    </row>
    <row r="41" spans="1:6" x14ac:dyDescent="0.2">
      <c r="A41" s="2" t="s">
        <v>65</v>
      </c>
      <c r="B41" s="2">
        <f t="shared" si="0"/>
        <v>1818</v>
      </c>
      <c r="C41" s="2">
        <f>B41+$Y$2</f>
        <v>1820</v>
      </c>
      <c r="D41" s="2">
        <f>C41+$Z$2</f>
        <v>1843</v>
      </c>
      <c r="E41" s="2">
        <f>D41+$AA$2</f>
        <v>1834</v>
      </c>
      <c r="F41" s="2">
        <f>E41+$AB$2</f>
        <v>1850</v>
      </c>
    </row>
    <row r="42" spans="1:6" x14ac:dyDescent="0.2">
      <c r="A42" s="2" t="s">
        <v>66</v>
      </c>
      <c r="B42" s="2">
        <f t="shared" si="0"/>
        <v>1841</v>
      </c>
      <c r="C42" s="2">
        <f>B42+$Y$2</f>
        <v>1843</v>
      </c>
      <c r="D42" s="2">
        <f>C42+$Z$2</f>
        <v>1866</v>
      </c>
      <c r="E42" s="2">
        <f>D42+$AA$2</f>
        <v>1857</v>
      </c>
      <c r="F42" s="2">
        <f>E42+$AB$2</f>
        <v>1873</v>
      </c>
    </row>
    <row r="43" spans="1:6" x14ac:dyDescent="0.2">
      <c r="A43" s="2" t="s">
        <v>95</v>
      </c>
      <c r="B43" s="2">
        <f t="shared" si="0"/>
        <v>1864</v>
      </c>
      <c r="C43" s="2">
        <f>B43+$P$2</f>
        <v>1866</v>
      </c>
      <c r="D43" s="2">
        <f>C43+$Q$2</f>
        <v>1944</v>
      </c>
      <c r="E43" s="2">
        <f>D43+$R$2</f>
        <v>1919</v>
      </c>
      <c r="F43" s="2">
        <f>E43+$S$2</f>
        <v>1983</v>
      </c>
    </row>
    <row r="44" spans="1:6" x14ac:dyDescent="0.2">
      <c r="A44" s="2" t="s">
        <v>96</v>
      </c>
      <c r="B44" s="2">
        <f t="shared" si="0"/>
        <v>1942</v>
      </c>
      <c r="C44" s="2">
        <f>B44+$P$2</f>
        <v>1944</v>
      </c>
      <c r="D44" s="2">
        <f>C44+$Q$2</f>
        <v>2022</v>
      </c>
      <c r="E44" s="2">
        <f>D44+$R$2</f>
        <v>1997</v>
      </c>
      <c r="F44" s="2">
        <f>E44+$S$2</f>
        <v>2061</v>
      </c>
    </row>
    <row r="45" spans="1:6" x14ac:dyDescent="0.2">
      <c r="A45" s="2" t="s">
        <v>69</v>
      </c>
      <c r="B45" s="2">
        <f t="shared" si="0"/>
        <v>2020</v>
      </c>
      <c r="C45" s="2">
        <f>B45+$Y$2</f>
        <v>2022</v>
      </c>
      <c r="D45" s="2">
        <f>C45+$Z$2</f>
        <v>2045</v>
      </c>
      <c r="E45" s="2">
        <f>D45+$AA$2</f>
        <v>2036</v>
      </c>
      <c r="F45" s="2">
        <f>E45+$AB$2</f>
        <v>2052</v>
      </c>
    </row>
    <row r="46" spans="1:6" x14ac:dyDescent="0.2">
      <c r="A46" s="2" t="s">
        <v>70</v>
      </c>
      <c r="B46" s="2">
        <f t="shared" si="0"/>
        <v>2043</v>
      </c>
      <c r="C46" s="2">
        <f>B46+$Y$2</f>
        <v>2045</v>
      </c>
      <c r="D46" s="2">
        <f>C46+$Z$2</f>
        <v>2068</v>
      </c>
      <c r="E46" s="2">
        <f>D46+$AA$2</f>
        <v>2059</v>
      </c>
      <c r="F46" s="2">
        <f>E46+$AB$2</f>
        <v>2075</v>
      </c>
    </row>
    <row r="47" spans="1:6" x14ac:dyDescent="0.2">
      <c r="A47" s="2" t="s">
        <v>91</v>
      </c>
      <c r="B47" s="2">
        <f t="shared" si="0"/>
        <v>2066</v>
      </c>
      <c r="C47" s="2">
        <f>B47+$P$2</f>
        <v>2068</v>
      </c>
      <c r="D47" s="2">
        <f>C47+$Q$2</f>
        <v>2146</v>
      </c>
      <c r="E47" s="2">
        <f>D47+$R$2</f>
        <v>2121</v>
      </c>
      <c r="F47" s="2">
        <f>E47+$S$2</f>
        <v>2185</v>
      </c>
    </row>
    <row r="48" spans="1:6" x14ac:dyDescent="0.2">
      <c r="A48" s="2" t="s">
        <v>92</v>
      </c>
      <c r="B48" s="2">
        <f t="shared" si="0"/>
        <v>2144</v>
      </c>
      <c r="C48" s="2">
        <f>B48+$P$2</f>
        <v>2146</v>
      </c>
      <c r="D48" s="2">
        <f>C48+$Q$2</f>
        <v>2224</v>
      </c>
      <c r="E48" s="2">
        <f>D48+$R$2</f>
        <v>2199</v>
      </c>
      <c r="F48" s="2">
        <f>E48+$S$2</f>
        <v>2263</v>
      </c>
    </row>
    <row r="49" spans="1:6" x14ac:dyDescent="0.2">
      <c r="A49" s="2" t="s">
        <v>74</v>
      </c>
      <c r="B49" s="2">
        <f t="shared" si="0"/>
        <v>2222</v>
      </c>
      <c r="C49" s="2">
        <f>B49+$Y$2</f>
        <v>2224</v>
      </c>
      <c r="D49" s="2">
        <f>C49+$Z$2</f>
        <v>2247</v>
      </c>
      <c r="E49" s="2">
        <f>D49+$AA$2</f>
        <v>2238</v>
      </c>
      <c r="F49" s="2">
        <f>E49+$AB$2</f>
        <v>2254</v>
      </c>
    </row>
    <row r="50" spans="1:6" x14ac:dyDescent="0.2">
      <c r="A50" s="1" t="s">
        <v>75</v>
      </c>
      <c r="B50" s="1">
        <f t="shared" si="0"/>
        <v>2245</v>
      </c>
      <c r="C50" s="1">
        <f>B50+$Y$2</f>
        <v>2247</v>
      </c>
      <c r="D50" s="1">
        <f>C50+$Z$2</f>
        <v>2270</v>
      </c>
      <c r="E50" s="1">
        <f>D50+$AA$2</f>
        <v>2261</v>
      </c>
      <c r="F50" s="1">
        <f>E50+$AB$2</f>
        <v>2277</v>
      </c>
    </row>
    <row r="51" spans="1:6" x14ac:dyDescent="0.2">
      <c r="A51" s="4" t="s">
        <v>29</v>
      </c>
      <c r="E51">
        <f>F50</f>
        <v>2277</v>
      </c>
      <c r="F51">
        <f>B52</f>
        <v>2400</v>
      </c>
    </row>
    <row r="52" spans="1:6" x14ac:dyDescent="0.2">
      <c r="A52" s="2" t="s">
        <v>62</v>
      </c>
      <c r="B52" s="2">
        <v>2400</v>
      </c>
      <c r="C52" s="2">
        <f>B52+$Y$2</f>
        <v>2402</v>
      </c>
      <c r="D52" s="2">
        <f>C52+$Z$2</f>
        <v>2425</v>
      </c>
      <c r="E52" s="2">
        <f>D52+$AA$2</f>
        <v>2416</v>
      </c>
      <c r="F52" s="2">
        <f>E52+$AB$2</f>
        <v>2432</v>
      </c>
    </row>
    <row r="53" spans="1:6" x14ac:dyDescent="0.2">
      <c r="A53" s="2" t="s">
        <v>61</v>
      </c>
      <c r="B53" s="2">
        <f t="shared" ref="B53:B63" si="1">D52-2</f>
        <v>2423</v>
      </c>
      <c r="C53" s="2">
        <f>B53+$Y$2</f>
        <v>2425</v>
      </c>
      <c r="D53" s="2">
        <f>C53+$Z$2</f>
        <v>2448</v>
      </c>
      <c r="E53" s="2">
        <f>D53+$AA$2</f>
        <v>2439</v>
      </c>
      <c r="F53" s="2">
        <f>E53+$AB$2</f>
        <v>2455</v>
      </c>
    </row>
    <row r="54" spans="1:6" x14ac:dyDescent="0.2">
      <c r="A54" s="2" t="s">
        <v>84</v>
      </c>
      <c r="B54" s="2">
        <f t="shared" si="1"/>
        <v>2446</v>
      </c>
      <c r="C54" s="2">
        <f>B54+$P$2</f>
        <v>2448</v>
      </c>
      <c r="D54" s="2">
        <f>C54+$Q$2</f>
        <v>2526</v>
      </c>
      <c r="E54" s="2">
        <f>D54+$R$2</f>
        <v>2501</v>
      </c>
      <c r="F54" s="2">
        <f>E54+$S$2</f>
        <v>2565</v>
      </c>
    </row>
    <row r="55" spans="1:6" x14ac:dyDescent="0.2">
      <c r="A55" s="2" t="s">
        <v>86</v>
      </c>
      <c r="B55" s="2">
        <f t="shared" si="1"/>
        <v>2524</v>
      </c>
      <c r="C55" s="2">
        <f>B55+$P$2</f>
        <v>2526</v>
      </c>
      <c r="D55" s="2">
        <f>C55+$Q$2</f>
        <v>2604</v>
      </c>
      <c r="E55" s="2">
        <f>D55+$R$2</f>
        <v>2579</v>
      </c>
      <c r="F55" s="2">
        <f>E55+$S$2</f>
        <v>2643</v>
      </c>
    </row>
    <row r="56" spans="1:6" x14ac:dyDescent="0.2">
      <c r="A56" s="2" t="s">
        <v>65</v>
      </c>
      <c r="B56" s="2">
        <f t="shared" si="1"/>
        <v>2602</v>
      </c>
      <c r="C56" s="2">
        <f>B56+$Y$2</f>
        <v>2604</v>
      </c>
      <c r="D56" s="2">
        <f>C56+$Z$2</f>
        <v>2627</v>
      </c>
      <c r="E56" s="2">
        <f>D56+$AA$2</f>
        <v>2618</v>
      </c>
      <c r="F56" s="2">
        <f>E56+$AB$2</f>
        <v>2634</v>
      </c>
    </row>
    <row r="57" spans="1:6" x14ac:dyDescent="0.2">
      <c r="A57" s="2" t="s">
        <v>66</v>
      </c>
      <c r="B57" s="2">
        <f t="shared" si="1"/>
        <v>2625</v>
      </c>
      <c r="C57" s="2">
        <f>B57+$Y$2</f>
        <v>2627</v>
      </c>
      <c r="D57" s="2">
        <f>C57+$Z$2</f>
        <v>2650</v>
      </c>
      <c r="E57" s="2">
        <f>D57+$AA$2</f>
        <v>2641</v>
      </c>
      <c r="F57" s="2">
        <f>E57+$AB$2</f>
        <v>2657</v>
      </c>
    </row>
    <row r="58" spans="1:6" x14ac:dyDescent="0.2">
      <c r="A58" s="2" t="s">
        <v>87</v>
      </c>
      <c r="B58" s="2">
        <f t="shared" si="1"/>
        <v>2648</v>
      </c>
      <c r="C58" s="2">
        <f>B58+$P$2</f>
        <v>2650</v>
      </c>
      <c r="D58" s="2">
        <f>C58+$Q$2</f>
        <v>2728</v>
      </c>
      <c r="E58" s="2">
        <f>D58+$R$2</f>
        <v>2703</v>
      </c>
      <c r="F58" s="2">
        <f>E58+$S$2</f>
        <v>2767</v>
      </c>
    </row>
    <row r="59" spans="1:6" x14ac:dyDescent="0.2">
      <c r="A59" s="2" t="s">
        <v>85</v>
      </c>
      <c r="B59" s="2">
        <f t="shared" si="1"/>
        <v>2726</v>
      </c>
      <c r="C59" s="2">
        <f>B59+$P$2</f>
        <v>2728</v>
      </c>
      <c r="D59" s="2">
        <f>C59+$Q$2</f>
        <v>2806</v>
      </c>
      <c r="E59" s="2">
        <f>D59+$R$2</f>
        <v>2781</v>
      </c>
      <c r="F59" s="2">
        <f>E59+$S$2</f>
        <v>2845</v>
      </c>
    </row>
    <row r="60" spans="1:6" x14ac:dyDescent="0.2">
      <c r="A60" s="2" t="s">
        <v>69</v>
      </c>
      <c r="B60" s="2">
        <f t="shared" si="1"/>
        <v>2804</v>
      </c>
      <c r="C60" s="2">
        <f>B60+$Y$2</f>
        <v>2806</v>
      </c>
      <c r="D60" s="2">
        <f>C60+$Z$2</f>
        <v>2829</v>
      </c>
      <c r="E60" s="2">
        <f>D60+$AA$2</f>
        <v>2820</v>
      </c>
      <c r="F60" s="2">
        <f>E60+$AB$2</f>
        <v>2836</v>
      </c>
    </row>
    <row r="61" spans="1:6" x14ac:dyDescent="0.2">
      <c r="A61" s="2" t="s">
        <v>70</v>
      </c>
      <c r="B61" s="2">
        <f t="shared" si="1"/>
        <v>2827</v>
      </c>
      <c r="C61" s="2">
        <f>B61+$Y$2</f>
        <v>2829</v>
      </c>
      <c r="D61" s="2">
        <f>C61+$Z$2</f>
        <v>2852</v>
      </c>
      <c r="E61" s="2">
        <f>D61+$AA$2</f>
        <v>2843</v>
      </c>
      <c r="F61" s="2">
        <f>E61+$AB$2</f>
        <v>2859</v>
      </c>
    </row>
    <row r="62" spans="1:6" x14ac:dyDescent="0.2">
      <c r="A62" s="2" t="s">
        <v>74</v>
      </c>
      <c r="B62" s="2">
        <f t="shared" si="1"/>
        <v>2850</v>
      </c>
      <c r="C62" s="2">
        <f>B62+$Y$2</f>
        <v>2852</v>
      </c>
      <c r="D62" s="2">
        <f>C62+$Z$2</f>
        <v>2875</v>
      </c>
      <c r="E62" s="2">
        <f>D62+$AA$2</f>
        <v>2866</v>
      </c>
      <c r="F62" s="2">
        <f>E62+$AB$2</f>
        <v>2882</v>
      </c>
    </row>
    <row r="63" spans="1:6" x14ac:dyDescent="0.2">
      <c r="A63" s="1" t="s">
        <v>75</v>
      </c>
      <c r="B63" s="1">
        <f t="shared" si="1"/>
        <v>2873</v>
      </c>
      <c r="C63" s="1">
        <f>B63+$Y$2</f>
        <v>2875</v>
      </c>
      <c r="D63" s="1">
        <f>C63+$Z$2</f>
        <v>2898</v>
      </c>
      <c r="E63" s="1">
        <f>D63+$AA$2</f>
        <v>2889</v>
      </c>
      <c r="F63" s="1">
        <f>E63+$AB$2</f>
        <v>2905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32D1-4B94-487D-B28D-6E027395071B}">
  <dimension ref="A1:AB19"/>
  <sheetViews>
    <sheetView tabSelected="1" workbookViewId="0">
      <selection activeCell="K26" sqref="A1:XFD1048576"/>
    </sheetView>
  </sheetViews>
  <sheetFormatPr defaultRowHeight="14.25" x14ac:dyDescent="0.2"/>
  <cols>
    <col min="1" max="1" width="21.5" customWidth="1"/>
    <col min="7" max="7" width="10.5" customWidth="1"/>
    <col min="17" max="17" width="11.125" customWidth="1"/>
    <col min="18" max="18" width="7.5" customWidth="1"/>
  </cols>
  <sheetData>
    <row r="1" spans="1:28" x14ac:dyDescent="0.2">
      <c r="A1" t="s">
        <v>0</v>
      </c>
      <c r="B1" t="s">
        <v>140</v>
      </c>
      <c r="H1" t="s">
        <v>22</v>
      </c>
      <c r="I1" t="s">
        <v>23</v>
      </c>
      <c r="J1" t="s">
        <v>24</v>
      </c>
      <c r="L1" t="s">
        <v>25</v>
      </c>
      <c r="M1" t="s">
        <v>26</v>
      </c>
      <c r="N1" t="s">
        <v>27</v>
      </c>
      <c r="P1" t="s">
        <v>31</v>
      </c>
      <c r="Q1" t="s">
        <v>58</v>
      </c>
      <c r="R1" t="s">
        <v>59</v>
      </c>
      <c r="S1" t="s">
        <v>60</v>
      </c>
      <c r="U1" t="s">
        <v>19</v>
      </c>
      <c r="V1" t="s">
        <v>21</v>
      </c>
      <c r="W1" t="s">
        <v>20</v>
      </c>
      <c r="Y1" t="s">
        <v>31</v>
      </c>
      <c r="Z1" t="s">
        <v>33</v>
      </c>
      <c r="AA1" t="s">
        <v>34</v>
      </c>
      <c r="AB1" t="s">
        <v>35</v>
      </c>
    </row>
    <row r="2" spans="1:28" x14ac:dyDescent="0.2">
      <c r="A2" t="s">
        <v>2</v>
      </c>
      <c r="B2" t="s">
        <v>3</v>
      </c>
      <c r="H2">
        <v>1</v>
      </c>
      <c r="I2">
        <v>1</v>
      </c>
      <c r="J2">
        <v>1</v>
      </c>
      <c r="L2">
        <v>1</v>
      </c>
      <c r="M2">
        <v>1</v>
      </c>
      <c r="N2">
        <v>1</v>
      </c>
      <c r="P2">
        <v>2</v>
      </c>
      <c r="Q2">
        <v>78</v>
      </c>
      <c r="R2">
        <v>-25</v>
      </c>
      <c r="S2">
        <v>64</v>
      </c>
      <c r="U2">
        <v>4</v>
      </c>
      <c r="V2">
        <v>19</v>
      </c>
      <c r="W2">
        <v>1</v>
      </c>
      <c r="Y2">
        <v>2</v>
      </c>
      <c r="Z2">
        <v>23</v>
      </c>
      <c r="AA2">
        <v>-9</v>
      </c>
      <c r="AB2">
        <v>16</v>
      </c>
    </row>
    <row r="3" spans="1:28" x14ac:dyDescent="0.2">
      <c r="A3" t="s">
        <v>4</v>
      </c>
      <c r="B3" t="s">
        <v>5</v>
      </c>
    </row>
    <row r="4" spans="1:28" x14ac:dyDescent="0.2">
      <c r="A4" t="s">
        <v>6</v>
      </c>
      <c r="B4" t="s">
        <v>7</v>
      </c>
      <c r="C4" t="s">
        <v>8</v>
      </c>
      <c r="D4" t="s">
        <v>9</v>
      </c>
      <c r="E4" t="s">
        <v>10</v>
      </c>
      <c r="F4" t="s">
        <v>11</v>
      </c>
    </row>
    <row r="5" spans="1:28" x14ac:dyDescent="0.2">
      <c r="A5" t="s">
        <v>126</v>
      </c>
      <c r="B5">
        <v>0</v>
      </c>
      <c r="C5">
        <f>B5+$Y$2</f>
        <v>2</v>
      </c>
      <c r="D5">
        <f>C5+$Z$2</f>
        <v>25</v>
      </c>
      <c r="E5">
        <f>D5+$AA$2</f>
        <v>16</v>
      </c>
      <c r="F5">
        <f>E5+$AB$2</f>
        <v>32</v>
      </c>
    </row>
    <row r="6" spans="1:28" x14ac:dyDescent="0.2">
      <c r="A6" t="s">
        <v>127</v>
      </c>
      <c r="B6">
        <f t="shared" ref="B6:B18" si="0">D5-2</f>
        <v>23</v>
      </c>
      <c r="C6">
        <f>B6+$Y$2</f>
        <v>25</v>
      </c>
      <c r="D6">
        <f>C6+$Z$2</f>
        <v>48</v>
      </c>
      <c r="E6">
        <f>D6+$AA$2</f>
        <v>39</v>
      </c>
      <c r="F6">
        <f>E6+$AB$2</f>
        <v>55</v>
      </c>
    </row>
    <row r="7" spans="1:28" x14ac:dyDescent="0.2">
      <c r="A7" t="s">
        <v>128</v>
      </c>
      <c r="B7">
        <f t="shared" si="0"/>
        <v>46</v>
      </c>
      <c r="C7">
        <f>B7+$P$2</f>
        <v>48</v>
      </c>
      <c r="D7">
        <f>C7+$Q$2</f>
        <v>126</v>
      </c>
      <c r="E7">
        <f>D7+$R$2</f>
        <v>101</v>
      </c>
      <c r="F7">
        <f>E7+$S$2</f>
        <v>165</v>
      </c>
    </row>
    <row r="8" spans="1:28" x14ac:dyDescent="0.2">
      <c r="A8" t="s">
        <v>129</v>
      </c>
      <c r="B8">
        <f t="shared" si="0"/>
        <v>124</v>
      </c>
      <c r="C8">
        <f>B8+$P$2</f>
        <v>126</v>
      </c>
      <c r="D8">
        <f>C8+$Q$2</f>
        <v>204</v>
      </c>
      <c r="E8">
        <f>D8+$R$2</f>
        <v>179</v>
      </c>
      <c r="F8">
        <f>E8+$S$2</f>
        <v>243</v>
      </c>
    </row>
    <row r="9" spans="1:28" x14ac:dyDescent="0.2">
      <c r="A9" t="s">
        <v>130</v>
      </c>
      <c r="B9">
        <f t="shared" si="0"/>
        <v>202</v>
      </c>
      <c r="C9">
        <f>B9+$Y$2</f>
        <v>204</v>
      </c>
      <c r="D9">
        <f>C9+$Z$2</f>
        <v>227</v>
      </c>
      <c r="E9">
        <f>D9+$AA$2</f>
        <v>218</v>
      </c>
      <c r="F9">
        <f>E9+$AB$2</f>
        <v>234</v>
      </c>
    </row>
    <row r="10" spans="1:28" x14ac:dyDescent="0.2">
      <c r="A10" t="s">
        <v>131</v>
      </c>
      <c r="B10">
        <f t="shared" si="0"/>
        <v>225</v>
      </c>
      <c r="C10">
        <f>B10+$Y$2</f>
        <v>227</v>
      </c>
      <c r="D10">
        <f>C10+$Z$2</f>
        <v>250</v>
      </c>
      <c r="E10">
        <f>D10+$AA$2</f>
        <v>241</v>
      </c>
      <c r="F10">
        <f>E10+$AB$2</f>
        <v>257</v>
      </c>
    </row>
    <row r="11" spans="1:28" x14ac:dyDescent="0.2">
      <c r="A11" t="s">
        <v>132</v>
      </c>
      <c r="B11">
        <f t="shared" si="0"/>
        <v>248</v>
      </c>
      <c r="C11">
        <f>B11+$P$2</f>
        <v>250</v>
      </c>
      <c r="D11">
        <f>C11+$Q$2</f>
        <v>328</v>
      </c>
      <c r="E11">
        <f>D11+$R$2</f>
        <v>303</v>
      </c>
      <c r="F11">
        <f>E11+$S$2</f>
        <v>367</v>
      </c>
    </row>
    <row r="12" spans="1:28" x14ac:dyDescent="0.2">
      <c r="A12" t="s">
        <v>133</v>
      </c>
      <c r="B12">
        <f t="shared" si="0"/>
        <v>326</v>
      </c>
      <c r="C12">
        <f>B12+$P$2</f>
        <v>328</v>
      </c>
      <c r="D12">
        <f>C12+$Q$2</f>
        <v>406</v>
      </c>
      <c r="E12">
        <f>D12+$R$2</f>
        <v>381</v>
      </c>
      <c r="F12">
        <f>E12+$S$2</f>
        <v>445</v>
      </c>
    </row>
    <row r="13" spans="1:28" x14ac:dyDescent="0.2">
      <c r="A13" t="s">
        <v>134</v>
      </c>
      <c r="B13">
        <f t="shared" si="0"/>
        <v>404</v>
      </c>
      <c r="C13">
        <f>B13+$Y$2</f>
        <v>406</v>
      </c>
      <c r="D13">
        <f>C13+$Z$2</f>
        <v>429</v>
      </c>
      <c r="E13">
        <f>D13+$AA$2</f>
        <v>420</v>
      </c>
      <c r="F13">
        <f>E13+$AB$2</f>
        <v>436</v>
      </c>
    </row>
    <row r="14" spans="1:28" x14ac:dyDescent="0.2">
      <c r="A14" t="s">
        <v>135</v>
      </c>
      <c r="B14">
        <f t="shared" si="0"/>
        <v>427</v>
      </c>
      <c r="C14">
        <f>B14+$Y$2</f>
        <v>429</v>
      </c>
      <c r="D14">
        <f>C14+$Z$2</f>
        <v>452</v>
      </c>
      <c r="E14">
        <f>D14+$AA$2</f>
        <v>443</v>
      </c>
      <c r="F14">
        <f>E14+$AB$2</f>
        <v>459</v>
      </c>
    </row>
    <row r="15" spans="1:28" x14ac:dyDescent="0.2">
      <c r="A15" t="s">
        <v>136</v>
      </c>
      <c r="B15">
        <f t="shared" si="0"/>
        <v>450</v>
      </c>
      <c r="C15">
        <f>B15+$P$2</f>
        <v>452</v>
      </c>
      <c r="D15">
        <f>C15+$Q$2</f>
        <v>530</v>
      </c>
      <c r="E15">
        <f>D15+$R$2</f>
        <v>505</v>
      </c>
      <c r="F15">
        <f>E15+$S$2</f>
        <v>569</v>
      </c>
    </row>
    <row r="16" spans="1:28" x14ac:dyDescent="0.2">
      <c r="A16" t="s">
        <v>137</v>
      </c>
      <c r="B16">
        <f t="shared" si="0"/>
        <v>528</v>
      </c>
      <c r="C16">
        <f>B16+$P$2</f>
        <v>530</v>
      </c>
      <c r="D16">
        <f>C16+$Q$2</f>
        <v>608</v>
      </c>
      <c r="E16">
        <f>D16+$R$2</f>
        <v>583</v>
      </c>
      <c r="F16">
        <f>E16+$S$2</f>
        <v>647</v>
      </c>
    </row>
    <row r="17" spans="1:6" x14ac:dyDescent="0.2">
      <c r="A17" t="s">
        <v>138</v>
      </c>
      <c r="B17">
        <f t="shared" si="0"/>
        <v>606</v>
      </c>
      <c r="C17">
        <f>B17+$Y$2</f>
        <v>608</v>
      </c>
      <c r="D17">
        <f>C17+$Z$2</f>
        <v>631</v>
      </c>
      <c r="E17">
        <f>D17+$AA$2</f>
        <v>622</v>
      </c>
      <c r="F17">
        <f>E17+$AB$2</f>
        <v>638</v>
      </c>
    </row>
    <row r="18" spans="1:6" s="2" customFormat="1" x14ac:dyDescent="0.2">
      <c r="A18" s="2" t="s">
        <v>139</v>
      </c>
      <c r="B18" s="2">
        <f t="shared" si="0"/>
        <v>629</v>
      </c>
      <c r="C18" s="2">
        <f>B18+$Y$2</f>
        <v>631</v>
      </c>
      <c r="D18" s="2">
        <f>C18+$Z$2</f>
        <v>654</v>
      </c>
      <c r="E18" s="2">
        <f>D18+$AA$2</f>
        <v>645</v>
      </c>
      <c r="F18" s="2">
        <f>E18+$AB$2</f>
        <v>661</v>
      </c>
    </row>
    <row r="19" spans="1:6" x14ac:dyDescent="0.2">
      <c r="A19" s="2"/>
      <c r="B19" s="2"/>
      <c r="C19" s="2"/>
      <c r="D19" s="2"/>
      <c r="E19" s="2"/>
      <c r="F19" s="2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7FD03-BF78-46BE-832D-3A5B174965E9}">
  <dimension ref="A1:AB35"/>
  <sheetViews>
    <sheetView workbookViewId="0">
      <selection activeCell="I35" sqref="I35"/>
    </sheetView>
  </sheetViews>
  <sheetFormatPr defaultRowHeight="14.25" x14ac:dyDescent="0.2"/>
  <cols>
    <col min="1" max="1" width="21.5" customWidth="1"/>
    <col min="3" max="3" width="10.625" customWidth="1"/>
  </cols>
  <sheetData>
    <row r="1" spans="1:28" x14ac:dyDescent="0.2">
      <c r="A1" t="s">
        <v>0</v>
      </c>
      <c r="B1" t="s">
        <v>121</v>
      </c>
      <c r="H1" t="s">
        <v>22</v>
      </c>
      <c r="I1" t="s">
        <v>23</v>
      </c>
      <c r="J1" t="s">
        <v>24</v>
      </c>
      <c r="L1" t="s">
        <v>25</v>
      </c>
      <c r="M1" t="s">
        <v>26</v>
      </c>
      <c r="N1" t="s">
        <v>27</v>
      </c>
      <c r="P1" t="s">
        <v>31</v>
      </c>
      <c r="Q1" t="s">
        <v>16</v>
      </c>
      <c r="R1" t="s">
        <v>17</v>
      </c>
      <c r="S1" t="s">
        <v>18</v>
      </c>
      <c r="U1" t="s">
        <v>19</v>
      </c>
      <c r="V1" t="s">
        <v>21</v>
      </c>
      <c r="W1" t="s">
        <v>20</v>
      </c>
      <c r="Y1" t="s">
        <v>31</v>
      </c>
      <c r="Z1" t="s">
        <v>33</v>
      </c>
      <c r="AA1" t="s">
        <v>34</v>
      </c>
      <c r="AB1" t="s">
        <v>35</v>
      </c>
    </row>
    <row r="2" spans="1:28" x14ac:dyDescent="0.2">
      <c r="A2" t="s">
        <v>2</v>
      </c>
      <c r="B2" t="s">
        <v>3</v>
      </c>
      <c r="H2">
        <v>1</v>
      </c>
      <c r="I2">
        <v>1</v>
      </c>
      <c r="J2">
        <v>1</v>
      </c>
      <c r="L2">
        <v>1</v>
      </c>
      <c r="M2">
        <v>1</v>
      </c>
      <c r="N2">
        <v>1</v>
      </c>
      <c r="P2">
        <v>2</v>
      </c>
      <c r="Q2">
        <v>8</v>
      </c>
      <c r="R2">
        <v>2</v>
      </c>
      <c r="S2">
        <v>4</v>
      </c>
      <c r="U2">
        <v>4</v>
      </c>
      <c r="V2">
        <v>19</v>
      </c>
      <c r="W2">
        <v>1</v>
      </c>
      <c r="Y2">
        <v>2</v>
      </c>
      <c r="Z2">
        <v>23</v>
      </c>
      <c r="AA2">
        <v>-13</v>
      </c>
      <c r="AB2">
        <v>16</v>
      </c>
    </row>
    <row r="3" spans="1:28" x14ac:dyDescent="0.2">
      <c r="A3" t="s">
        <v>4</v>
      </c>
      <c r="B3" t="s">
        <v>5</v>
      </c>
    </row>
    <row r="4" spans="1:28" x14ac:dyDescent="0.2">
      <c r="A4" t="s">
        <v>6</v>
      </c>
      <c r="B4" t="s">
        <v>7</v>
      </c>
      <c r="C4" t="s">
        <v>8</v>
      </c>
      <c r="D4" t="s">
        <v>9</v>
      </c>
      <c r="E4" t="s">
        <v>10</v>
      </c>
      <c r="F4" t="s">
        <v>11</v>
      </c>
    </row>
    <row r="5" spans="1:28" x14ac:dyDescent="0.2">
      <c r="A5" t="s">
        <v>97</v>
      </c>
      <c r="B5">
        <v>0</v>
      </c>
      <c r="C5">
        <f>B5+$P$2</f>
        <v>2</v>
      </c>
      <c r="D5">
        <f>C5+$Q$2</f>
        <v>10</v>
      </c>
      <c r="E5">
        <f>D5+$R$2</f>
        <v>12</v>
      </c>
      <c r="F5">
        <f>E5+$S$2</f>
        <v>16</v>
      </c>
    </row>
    <row r="6" spans="1:28" x14ac:dyDescent="0.2">
      <c r="A6" t="s">
        <v>98</v>
      </c>
      <c r="B6">
        <f>B5+8</f>
        <v>8</v>
      </c>
      <c r="C6">
        <f t="shared" ref="C6:C8" si="0">B6+$P$2</f>
        <v>10</v>
      </c>
      <c r="D6">
        <f t="shared" ref="D6:D8" si="1">C6+$Q$2</f>
        <v>18</v>
      </c>
      <c r="E6">
        <f t="shared" ref="E6:E8" si="2">D6+$R$2</f>
        <v>20</v>
      </c>
      <c r="F6">
        <f t="shared" ref="F6:F8" si="3">E6+$S$2</f>
        <v>24</v>
      </c>
    </row>
    <row r="7" spans="1:28" x14ac:dyDescent="0.2">
      <c r="A7" t="s">
        <v>99</v>
      </c>
      <c r="B7">
        <f>B6+8</f>
        <v>16</v>
      </c>
      <c r="C7">
        <f t="shared" si="0"/>
        <v>18</v>
      </c>
      <c r="D7">
        <f t="shared" si="1"/>
        <v>26</v>
      </c>
      <c r="E7">
        <f t="shared" si="2"/>
        <v>28</v>
      </c>
      <c r="F7">
        <f t="shared" si="3"/>
        <v>32</v>
      </c>
    </row>
    <row r="8" spans="1:28" x14ac:dyDescent="0.2">
      <c r="A8" t="s">
        <v>119</v>
      </c>
      <c r="B8">
        <f>B7+8</f>
        <v>24</v>
      </c>
      <c r="C8">
        <f t="shared" si="0"/>
        <v>26</v>
      </c>
      <c r="D8">
        <f t="shared" si="1"/>
        <v>34</v>
      </c>
      <c r="E8">
        <f t="shared" si="2"/>
        <v>36</v>
      </c>
      <c r="F8">
        <f t="shared" si="3"/>
        <v>40</v>
      </c>
    </row>
    <row r="9" spans="1:28" x14ac:dyDescent="0.2">
      <c r="A9" t="s">
        <v>100</v>
      </c>
      <c r="C9">
        <f>E8</f>
        <v>36</v>
      </c>
      <c r="D9">
        <f>C9+$U$2</f>
        <v>40</v>
      </c>
      <c r="E9">
        <f>D9+$V$2</f>
        <v>59</v>
      </c>
      <c r="F9">
        <f>E9+$W$2</f>
        <v>60</v>
      </c>
    </row>
    <row r="10" spans="1:28" x14ac:dyDescent="0.2">
      <c r="A10" t="s">
        <v>101</v>
      </c>
      <c r="C10">
        <f>F9</f>
        <v>60</v>
      </c>
      <c r="D10">
        <f>C10+$H$2</f>
        <v>61</v>
      </c>
      <c r="E10">
        <f>D10+$I$2</f>
        <v>62</v>
      </c>
      <c r="F10">
        <f>E10+$J$2</f>
        <v>63</v>
      </c>
    </row>
    <row r="11" spans="1:28" x14ac:dyDescent="0.2">
      <c r="A11" t="s">
        <v>102</v>
      </c>
      <c r="C11">
        <f>F10</f>
        <v>63</v>
      </c>
      <c r="D11">
        <f>C11+$L$2</f>
        <v>64</v>
      </c>
      <c r="E11">
        <f>D11+$M$2</f>
        <v>65</v>
      </c>
      <c r="F11">
        <f>E11+$N$2</f>
        <v>66</v>
      </c>
    </row>
    <row r="12" spans="1:28" x14ac:dyDescent="0.2">
      <c r="A12" t="s">
        <v>113</v>
      </c>
      <c r="B12">
        <f>D29-2</f>
        <v>72</v>
      </c>
      <c r="C12">
        <f>B12+$P$2</f>
        <v>74</v>
      </c>
      <c r="D12">
        <f>C12+$Q$2</f>
        <v>82</v>
      </c>
      <c r="E12">
        <f>D12+$R$2</f>
        <v>84</v>
      </c>
      <c r="F12">
        <f>E12+$S$2</f>
        <v>88</v>
      </c>
    </row>
    <row r="13" spans="1:28" x14ac:dyDescent="0.2">
      <c r="A13" t="s">
        <v>105</v>
      </c>
      <c r="C13">
        <f>E12</f>
        <v>84</v>
      </c>
      <c r="D13">
        <f>C13+$U$2</f>
        <v>88</v>
      </c>
      <c r="E13">
        <f>D13+$V$2</f>
        <v>107</v>
      </c>
      <c r="F13">
        <f>E13+$W$2</f>
        <v>108</v>
      </c>
    </row>
    <row r="14" spans="1:28" x14ac:dyDescent="0.2">
      <c r="A14" t="s">
        <v>101</v>
      </c>
      <c r="C14">
        <f>F13</f>
        <v>108</v>
      </c>
      <c r="D14">
        <f>C14+$H$2</f>
        <v>109</v>
      </c>
      <c r="E14">
        <f>D14+$I$2</f>
        <v>110</v>
      </c>
      <c r="F14">
        <f>E14+$J$2</f>
        <v>111</v>
      </c>
    </row>
    <row r="15" spans="1:28" x14ac:dyDescent="0.2">
      <c r="A15" t="s">
        <v>102</v>
      </c>
      <c r="C15">
        <f>F14</f>
        <v>111</v>
      </c>
      <c r="D15">
        <f>C15+$L$2</f>
        <v>112</v>
      </c>
      <c r="E15">
        <f>D15+$M$2</f>
        <v>113</v>
      </c>
      <c r="F15">
        <f>E15+$N$2</f>
        <v>114</v>
      </c>
    </row>
    <row r="16" spans="1:28" x14ac:dyDescent="0.2">
      <c r="A16" t="s">
        <v>106</v>
      </c>
      <c r="B16">
        <f>D32-2</f>
        <v>119</v>
      </c>
      <c r="C16">
        <f>B16+$P$2</f>
        <v>121</v>
      </c>
      <c r="D16">
        <f>C16+$Q$2</f>
        <v>129</v>
      </c>
      <c r="E16">
        <f>D16+$R$2</f>
        <v>131</v>
      </c>
      <c r="F16">
        <f>E16+$S$2</f>
        <v>135</v>
      </c>
    </row>
    <row r="17" spans="1:6" x14ac:dyDescent="0.2">
      <c r="A17" t="s">
        <v>105</v>
      </c>
      <c r="C17">
        <f>E16</f>
        <v>131</v>
      </c>
      <c r="D17">
        <f>C17+$U$2</f>
        <v>135</v>
      </c>
      <c r="E17">
        <f>D17+$V$2</f>
        <v>154</v>
      </c>
      <c r="F17">
        <f>E17+$W$2</f>
        <v>155</v>
      </c>
    </row>
    <row r="18" spans="1:6" x14ac:dyDescent="0.2">
      <c r="A18" t="s">
        <v>101</v>
      </c>
      <c r="C18">
        <f>F17</f>
        <v>155</v>
      </c>
      <c r="D18">
        <f>C18+$H$2</f>
        <v>156</v>
      </c>
      <c r="E18">
        <f>D18+$I$2</f>
        <v>157</v>
      </c>
      <c r="F18">
        <f>E18+$J$2</f>
        <v>158</v>
      </c>
    </row>
    <row r="19" spans="1:6" x14ac:dyDescent="0.2">
      <c r="A19" t="s">
        <v>102</v>
      </c>
      <c r="C19">
        <f>F18</f>
        <v>158</v>
      </c>
      <c r="D19">
        <f>C19+$L$2</f>
        <v>159</v>
      </c>
      <c r="E19">
        <f>D19+$M$2</f>
        <v>160</v>
      </c>
      <c r="F19">
        <f>E19+$N$2</f>
        <v>161</v>
      </c>
    </row>
    <row r="20" spans="1:6" x14ac:dyDescent="0.2">
      <c r="A20" t="s">
        <v>111</v>
      </c>
      <c r="B20">
        <f>D35-2</f>
        <v>166</v>
      </c>
      <c r="C20">
        <f>B20+$P$2</f>
        <v>168</v>
      </c>
      <c r="D20">
        <f>C20+$Q$2</f>
        <v>176</v>
      </c>
      <c r="E20">
        <f>D20+$R$2</f>
        <v>178</v>
      </c>
      <c r="F20">
        <f>E20+$S$2</f>
        <v>182</v>
      </c>
    </row>
    <row r="21" spans="1:6" x14ac:dyDescent="0.2">
      <c r="A21" t="s">
        <v>100</v>
      </c>
      <c r="C21">
        <f>E20</f>
        <v>178</v>
      </c>
      <c r="D21">
        <f>C21+$U$2</f>
        <v>182</v>
      </c>
      <c r="E21">
        <f>D21+$V$2</f>
        <v>201</v>
      </c>
      <c r="F21">
        <f>E21+$W$2</f>
        <v>202</v>
      </c>
    </row>
    <row r="22" spans="1:6" x14ac:dyDescent="0.2">
      <c r="A22" t="s">
        <v>101</v>
      </c>
      <c r="C22">
        <f>F21</f>
        <v>202</v>
      </c>
      <c r="D22">
        <f>C22+$H$2</f>
        <v>203</v>
      </c>
      <c r="E22">
        <f>D22+$I$2</f>
        <v>204</v>
      </c>
      <c r="F22">
        <f>E22+$J$2</f>
        <v>205</v>
      </c>
    </row>
    <row r="23" spans="1:6" x14ac:dyDescent="0.2">
      <c r="A23" t="s">
        <v>102</v>
      </c>
      <c r="C23">
        <f>F22</f>
        <v>205</v>
      </c>
      <c r="D23">
        <f>C23+$L$2</f>
        <v>206</v>
      </c>
      <c r="E23">
        <f>D23+$M$2</f>
        <v>207</v>
      </c>
      <c r="F23">
        <f>E23+$N$2</f>
        <v>208</v>
      </c>
    </row>
    <row r="24" spans="1:6" x14ac:dyDescent="0.2">
      <c r="A24" t="s">
        <v>29</v>
      </c>
      <c r="D24">
        <f>F23</f>
        <v>208</v>
      </c>
      <c r="E24">
        <f>D24+7</f>
        <v>215</v>
      </c>
      <c r="F24">
        <f>E24+1</f>
        <v>216</v>
      </c>
    </row>
    <row r="25" spans="1:6" x14ac:dyDescent="0.2">
      <c r="A25" t="s">
        <v>112</v>
      </c>
      <c r="B25">
        <f>B8+8</f>
        <v>32</v>
      </c>
      <c r="C25">
        <f t="shared" ref="C25:C26" si="4">B25+$P$2</f>
        <v>34</v>
      </c>
      <c r="D25">
        <f t="shared" ref="D25:D26" si="5">C25+$Q$2</f>
        <v>42</v>
      </c>
      <c r="E25">
        <f t="shared" ref="E25:E26" si="6">D25+$R$2</f>
        <v>44</v>
      </c>
      <c r="F25">
        <f t="shared" ref="F25:F26" si="7">E25+$S$2</f>
        <v>48</v>
      </c>
    </row>
    <row r="26" spans="1:6" x14ac:dyDescent="0.2">
      <c r="A26" t="s">
        <v>103</v>
      </c>
      <c r="B26">
        <f>B25+8</f>
        <v>40</v>
      </c>
      <c r="C26">
        <f t="shared" si="4"/>
        <v>42</v>
      </c>
      <c r="D26">
        <f t="shared" si="5"/>
        <v>50</v>
      </c>
      <c r="E26">
        <f t="shared" si="6"/>
        <v>52</v>
      </c>
      <c r="F26">
        <f t="shared" si="7"/>
        <v>56</v>
      </c>
    </row>
    <row r="27" spans="1:6" x14ac:dyDescent="0.2">
      <c r="A27" t="s">
        <v>120</v>
      </c>
      <c r="B27">
        <f>B26+8</f>
        <v>48</v>
      </c>
      <c r="C27">
        <f>B27+$P$2</f>
        <v>50</v>
      </c>
      <c r="D27">
        <f>C27+$Q$2</f>
        <v>58</v>
      </c>
      <c r="E27">
        <f>D27+$R$2</f>
        <v>60</v>
      </c>
      <c r="F27">
        <f>E27+$S$2</f>
        <v>64</v>
      </c>
    </row>
    <row r="28" spans="1:6" x14ac:dyDescent="0.2">
      <c r="A28" t="s">
        <v>118</v>
      </c>
      <c r="B28">
        <f>D27-2</f>
        <v>56</v>
      </c>
      <c r="C28">
        <f>B28+$P$2</f>
        <v>58</v>
      </c>
      <c r="D28">
        <f>C28+$Q$2</f>
        <v>66</v>
      </c>
      <c r="E28">
        <f>D28+$R$2</f>
        <v>68</v>
      </c>
      <c r="F28">
        <f>E28+$S$2</f>
        <v>72</v>
      </c>
    </row>
    <row r="29" spans="1:6" x14ac:dyDescent="0.2">
      <c r="A29" t="s">
        <v>110</v>
      </c>
      <c r="B29">
        <f>D28-2</f>
        <v>64</v>
      </c>
      <c r="C29">
        <f>B29+$P$2</f>
        <v>66</v>
      </c>
      <c r="D29">
        <f>C29+$Q$2</f>
        <v>74</v>
      </c>
      <c r="E29">
        <f>D29+$R$2</f>
        <v>76</v>
      </c>
      <c r="F29">
        <f>E29+$S$2</f>
        <v>80</v>
      </c>
    </row>
    <row r="30" spans="1:6" x14ac:dyDescent="0.2">
      <c r="A30" t="s">
        <v>114</v>
      </c>
      <c r="B30">
        <f>B12+8</f>
        <v>80</v>
      </c>
      <c r="C30">
        <f>B30+$P$2</f>
        <v>82</v>
      </c>
      <c r="D30">
        <f>C30+$Q$2</f>
        <v>90</v>
      </c>
      <c r="E30">
        <f>D30+$R$2</f>
        <v>92</v>
      </c>
      <c r="F30">
        <f>E30+$S$2</f>
        <v>96</v>
      </c>
    </row>
    <row r="31" spans="1:6" x14ac:dyDescent="0.2">
      <c r="A31" t="s">
        <v>115</v>
      </c>
      <c r="B31">
        <f>B30+8</f>
        <v>88</v>
      </c>
      <c r="C31">
        <f>B31+$P$2</f>
        <v>90</v>
      </c>
      <c r="D31">
        <f>C31+$Q$2</f>
        <v>98</v>
      </c>
      <c r="E31">
        <f>D31+$R$2</f>
        <v>100</v>
      </c>
      <c r="F31">
        <f>E31+$S$2</f>
        <v>104</v>
      </c>
    </row>
    <row r="32" spans="1:6" x14ac:dyDescent="0.2">
      <c r="A32" t="s">
        <v>104</v>
      </c>
      <c r="B32">
        <f>B31+8</f>
        <v>96</v>
      </c>
      <c r="C32">
        <f>B32+$Y$2</f>
        <v>98</v>
      </c>
      <c r="D32">
        <f>C32+$Z$2</f>
        <v>121</v>
      </c>
      <c r="E32">
        <f>D32+$AA$2</f>
        <v>108</v>
      </c>
      <c r="F32">
        <f>E32+$AB$2</f>
        <v>124</v>
      </c>
    </row>
    <row r="33" spans="1:6" x14ac:dyDescent="0.2">
      <c r="A33" t="s">
        <v>109</v>
      </c>
      <c r="B33">
        <f>D16-2</f>
        <v>127</v>
      </c>
      <c r="C33">
        <f>B33+$Y$2</f>
        <v>129</v>
      </c>
      <c r="D33">
        <f>C33+$Z$2</f>
        <v>152</v>
      </c>
      <c r="E33">
        <f>D33+$AA$2</f>
        <v>139</v>
      </c>
      <c r="F33">
        <f>E33+$AB$2</f>
        <v>155</v>
      </c>
    </row>
    <row r="34" spans="1:6" x14ac:dyDescent="0.2">
      <c r="A34" t="s">
        <v>107</v>
      </c>
      <c r="B34">
        <f>D33-2</f>
        <v>150</v>
      </c>
      <c r="C34">
        <f>B34+$P$2</f>
        <v>152</v>
      </c>
      <c r="D34">
        <f>C34+$Q$2</f>
        <v>160</v>
      </c>
      <c r="E34">
        <f>D34+$R$2</f>
        <v>162</v>
      </c>
      <c r="F34">
        <f>E34+$S$2</f>
        <v>166</v>
      </c>
    </row>
    <row r="35" spans="1:6" x14ac:dyDescent="0.2">
      <c r="A35" t="s">
        <v>108</v>
      </c>
      <c r="B35">
        <f>B34+8</f>
        <v>158</v>
      </c>
      <c r="C35">
        <f>B35+$P$2</f>
        <v>160</v>
      </c>
      <c r="D35">
        <f>C35+$Q$2</f>
        <v>168</v>
      </c>
      <c r="E35">
        <f>D35+$R$2</f>
        <v>170</v>
      </c>
      <c r="F35">
        <f>E35+$S$2</f>
        <v>174</v>
      </c>
    </row>
  </sheetData>
  <sheetProtection sheet="1" objects="1" scenarios="1"/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5722B-E97D-444F-8BBA-4F33D9EFBAF8}">
  <dimension ref="A1:AB34"/>
  <sheetViews>
    <sheetView workbookViewId="0">
      <selection activeCell="L28" sqref="L28"/>
    </sheetView>
  </sheetViews>
  <sheetFormatPr defaultRowHeight="14.25" x14ac:dyDescent="0.2"/>
  <cols>
    <col min="1" max="1" width="21.5" customWidth="1"/>
    <col min="3" max="3" width="10.625" customWidth="1"/>
  </cols>
  <sheetData>
    <row r="1" spans="1:28" x14ac:dyDescent="0.2">
      <c r="A1" t="s">
        <v>0</v>
      </c>
      <c r="B1" t="s">
        <v>122</v>
      </c>
      <c r="H1" t="s">
        <v>22</v>
      </c>
      <c r="I1" t="s">
        <v>23</v>
      </c>
      <c r="J1" t="s">
        <v>24</v>
      </c>
      <c r="L1" t="s">
        <v>25</v>
      </c>
      <c r="M1" t="s">
        <v>26</v>
      </c>
      <c r="N1" t="s">
        <v>27</v>
      </c>
      <c r="P1" t="s">
        <v>31</v>
      </c>
      <c r="Q1" t="s">
        <v>16</v>
      </c>
      <c r="R1" t="s">
        <v>17</v>
      </c>
      <c r="S1" t="s">
        <v>18</v>
      </c>
      <c r="U1" t="s">
        <v>19</v>
      </c>
      <c r="V1" t="s">
        <v>21</v>
      </c>
      <c r="W1" t="s">
        <v>20</v>
      </c>
      <c r="Y1" t="s">
        <v>31</v>
      </c>
      <c r="Z1" t="s">
        <v>33</v>
      </c>
      <c r="AA1" t="s">
        <v>34</v>
      </c>
      <c r="AB1" t="s">
        <v>35</v>
      </c>
    </row>
    <row r="2" spans="1:28" x14ac:dyDescent="0.2">
      <c r="A2" t="s">
        <v>2</v>
      </c>
      <c r="B2" t="s">
        <v>3</v>
      </c>
      <c r="H2">
        <v>1</v>
      </c>
      <c r="I2">
        <v>1</v>
      </c>
      <c r="J2">
        <v>1</v>
      </c>
      <c r="L2">
        <v>1</v>
      </c>
      <c r="M2">
        <v>1</v>
      </c>
      <c r="N2">
        <v>1</v>
      </c>
      <c r="P2">
        <v>2</v>
      </c>
      <c r="Q2">
        <v>8</v>
      </c>
      <c r="R2">
        <v>2</v>
      </c>
      <c r="S2">
        <v>4</v>
      </c>
      <c r="U2">
        <v>4</v>
      </c>
      <c r="V2">
        <v>19</v>
      </c>
      <c r="W2">
        <v>1</v>
      </c>
      <c r="Y2">
        <v>2</v>
      </c>
      <c r="Z2">
        <v>23</v>
      </c>
      <c r="AA2">
        <v>-13</v>
      </c>
      <c r="AB2">
        <v>16</v>
      </c>
    </row>
    <row r="3" spans="1:28" x14ac:dyDescent="0.2">
      <c r="A3" t="s">
        <v>4</v>
      </c>
      <c r="B3" t="s">
        <v>5</v>
      </c>
    </row>
    <row r="4" spans="1:28" x14ac:dyDescent="0.2">
      <c r="A4" t="s">
        <v>6</v>
      </c>
      <c r="B4" t="s">
        <v>7</v>
      </c>
      <c r="C4" t="s">
        <v>8</v>
      </c>
      <c r="D4" t="s">
        <v>9</v>
      </c>
      <c r="E4" t="s">
        <v>10</v>
      </c>
      <c r="F4" t="s">
        <v>11</v>
      </c>
    </row>
    <row r="5" spans="1:28" x14ac:dyDescent="0.2">
      <c r="A5" t="s">
        <v>97</v>
      </c>
      <c r="B5">
        <v>-24</v>
      </c>
      <c r="C5">
        <f>B5+$P$2</f>
        <v>-22</v>
      </c>
      <c r="D5">
        <f>C5+$Q$2</f>
        <v>-14</v>
      </c>
      <c r="E5">
        <f>D5+$R$2</f>
        <v>-12</v>
      </c>
      <c r="F5">
        <f>E5+$S$2</f>
        <v>-8</v>
      </c>
    </row>
    <row r="6" spans="1:28" x14ac:dyDescent="0.2">
      <c r="A6" t="s">
        <v>98</v>
      </c>
      <c r="B6">
        <f>B5+8</f>
        <v>-16</v>
      </c>
      <c r="C6">
        <f t="shared" ref="C6:C8" si="0">B6+$P$2</f>
        <v>-14</v>
      </c>
      <c r="D6">
        <f t="shared" ref="D6:D8" si="1">C6+$Q$2</f>
        <v>-6</v>
      </c>
      <c r="E6">
        <f t="shared" ref="E6:E8" si="2">D6+$R$2</f>
        <v>-4</v>
      </c>
      <c r="F6">
        <f t="shared" ref="F6:F8" si="3">E6+$S$2</f>
        <v>0</v>
      </c>
    </row>
    <row r="7" spans="1:28" x14ac:dyDescent="0.2">
      <c r="A7" t="s">
        <v>123</v>
      </c>
      <c r="B7">
        <f>B6+8</f>
        <v>-8</v>
      </c>
      <c r="C7">
        <f>B7+$P$2</f>
        <v>-6</v>
      </c>
      <c r="D7">
        <f>C7+$Q$2</f>
        <v>2</v>
      </c>
      <c r="E7">
        <f>D7+$R$2</f>
        <v>4</v>
      </c>
      <c r="F7">
        <f>E7+$S$2</f>
        <v>8</v>
      </c>
    </row>
    <row r="8" spans="1:28" x14ac:dyDescent="0.2">
      <c r="A8" t="s">
        <v>99</v>
      </c>
      <c r="B8">
        <v>0</v>
      </c>
      <c r="C8">
        <f t="shared" si="0"/>
        <v>2</v>
      </c>
      <c r="D8">
        <f t="shared" si="1"/>
        <v>10</v>
      </c>
      <c r="E8">
        <f t="shared" si="2"/>
        <v>12</v>
      </c>
      <c r="F8">
        <f t="shared" si="3"/>
        <v>16</v>
      </c>
    </row>
    <row r="9" spans="1:28" x14ac:dyDescent="0.2">
      <c r="A9" t="s">
        <v>117</v>
      </c>
      <c r="C9">
        <f>E8</f>
        <v>12</v>
      </c>
      <c r="D9">
        <f>C9+$U$2</f>
        <v>16</v>
      </c>
      <c r="E9">
        <f>D9+$V$2</f>
        <v>35</v>
      </c>
      <c r="F9">
        <f>E9+$W$2</f>
        <v>36</v>
      </c>
    </row>
    <row r="10" spans="1:28" x14ac:dyDescent="0.2">
      <c r="A10" t="s">
        <v>101</v>
      </c>
      <c r="C10">
        <f>F9</f>
        <v>36</v>
      </c>
      <c r="D10">
        <f>C10+$H$2</f>
        <v>37</v>
      </c>
      <c r="E10">
        <f>D10+$I$2</f>
        <v>38</v>
      </c>
      <c r="F10">
        <f>E10+$J$2</f>
        <v>39</v>
      </c>
    </row>
    <row r="11" spans="1:28" x14ac:dyDescent="0.2">
      <c r="A11" t="s">
        <v>102</v>
      </c>
      <c r="C11">
        <f>F10</f>
        <v>39</v>
      </c>
      <c r="D11">
        <f>C11+$L$2</f>
        <v>40</v>
      </c>
      <c r="E11">
        <f>D11+$M$2</f>
        <v>41</v>
      </c>
      <c r="F11">
        <f>E11+$N$2</f>
        <v>42</v>
      </c>
    </row>
    <row r="12" spans="1:28" x14ac:dyDescent="0.2">
      <c r="A12" t="s">
        <v>113</v>
      </c>
      <c r="B12">
        <f>D28-2</f>
        <v>48</v>
      </c>
      <c r="C12">
        <f>B12+$P$2</f>
        <v>50</v>
      </c>
      <c r="D12">
        <f>C12+$Q$2</f>
        <v>58</v>
      </c>
      <c r="E12">
        <f>D12+$R$2</f>
        <v>60</v>
      </c>
      <c r="F12">
        <f>E12+$S$2</f>
        <v>64</v>
      </c>
    </row>
    <row r="13" spans="1:28" x14ac:dyDescent="0.2">
      <c r="A13" t="s">
        <v>117</v>
      </c>
      <c r="C13">
        <f>E12</f>
        <v>60</v>
      </c>
      <c r="D13">
        <f>C13+$U$2</f>
        <v>64</v>
      </c>
      <c r="E13">
        <f>D13+$V$2</f>
        <v>83</v>
      </c>
      <c r="F13">
        <f>E13+$W$2</f>
        <v>84</v>
      </c>
    </row>
    <row r="14" spans="1:28" x14ac:dyDescent="0.2">
      <c r="A14" t="s">
        <v>101</v>
      </c>
      <c r="C14">
        <f>F13</f>
        <v>84</v>
      </c>
      <c r="D14">
        <f>C14+$H$2</f>
        <v>85</v>
      </c>
      <c r="E14">
        <f>D14+$I$2</f>
        <v>86</v>
      </c>
      <c r="F14">
        <f>E14+$J$2</f>
        <v>87</v>
      </c>
    </row>
    <row r="15" spans="1:28" x14ac:dyDescent="0.2">
      <c r="A15" t="s">
        <v>102</v>
      </c>
      <c r="C15">
        <f>F14</f>
        <v>87</v>
      </c>
      <c r="D15">
        <f>C15+$L$2</f>
        <v>88</v>
      </c>
      <c r="E15">
        <f>D15+$M$2</f>
        <v>89</v>
      </c>
      <c r="F15">
        <f>E15+$N$2</f>
        <v>90</v>
      </c>
    </row>
    <row r="16" spans="1:28" x14ac:dyDescent="0.2">
      <c r="A16" t="s">
        <v>106</v>
      </c>
      <c r="B16">
        <f>D31-2</f>
        <v>95</v>
      </c>
      <c r="C16">
        <f>B16+$P$2</f>
        <v>97</v>
      </c>
      <c r="D16">
        <f>C16+$Q$2</f>
        <v>105</v>
      </c>
      <c r="E16">
        <f>D16+$R$2</f>
        <v>107</v>
      </c>
      <c r="F16">
        <f>E16+$S$2</f>
        <v>111</v>
      </c>
    </row>
    <row r="17" spans="1:6" x14ac:dyDescent="0.2">
      <c r="A17" t="s">
        <v>105</v>
      </c>
      <c r="C17">
        <f>E16</f>
        <v>107</v>
      </c>
      <c r="D17">
        <f>C17+$U$2</f>
        <v>111</v>
      </c>
      <c r="E17">
        <f>D17+$V$2</f>
        <v>130</v>
      </c>
      <c r="F17">
        <f>E17+$W$2</f>
        <v>131</v>
      </c>
    </row>
    <row r="18" spans="1:6" x14ac:dyDescent="0.2">
      <c r="A18" t="s">
        <v>101</v>
      </c>
      <c r="C18">
        <f>F17</f>
        <v>131</v>
      </c>
      <c r="D18">
        <f>C18+$H$2</f>
        <v>132</v>
      </c>
      <c r="E18">
        <f>D18+$I$2</f>
        <v>133</v>
      </c>
      <c r="F18">
        <f>E18+$J$2</f>
        <v>134</v>
      </c>
    </row>
    <row r="19" spans="1:6" x14ac:dyDescent="0.2">
      <c r="A19" t="s">
        <v>102</v>
      </c>
      <c r="C19">
        <f>F18</f>
        <v>134</v>
      </c>
      <c r="D19">
        <f>C19+$L$2</f>
        <v>135</v>
      </c>
      <c r="E19">
        <f>D19+$M$2</f>
        <v>136</v>
      </c>
      <c r="F19">
        <f>E19+$N$2</f>
        <v>137</v>
      </c>
    </row>
    <row r="20" spans="1:6" x14ac:dyDescent="0.2">
      <c r="A20" t="s">
        <v>111</v>
      </c>
      <c r="B20">
        <f>D34-2</f>
        <v>142</v>
      </c>
      <c r="C20">
        <f>B20+$P$2</f>
        <v>144</v>
      </c>
      <c r="D20">
        <f>C20+$Q$2</f>
        <v>152</v>
      </c>
      <c r="E20">
        <f>D20+$R$2</f>
        <v>154</v>
      </c>
      <c r="F20">
        <f>E20+$S$2</f>
        <v>158</v>
      </c>
    </row>
    <row r="21" spans="1:6" x14ac:dyDescent="0.2">
      <c r="A21" t="s">
        <v>100</v>
      </c>
      <c r="C21">
        <f>E20</f>
        <v>154</v>
      </c>
      <c r="D21">
        <f>C21+$U$2</f>
        <v>158</v>
      </c>
      <c r="E21">
        <f>D21+$V$2</f>
        <v>177</v>
      </c>
      <c r="F21">
        <f>E21+$W$2</f>
        <v>178</v>
      </c>
    </row>
    <row r="22" spans="1:6" x14ac:dyDescent="0.2">
      <c r="A22" t="s">
        <v>101</v>
      </c>
      <c r="C22">
        <f>F21</f>
        <v>178</v>
      </c>
      <c r="D22">
        <f>C22+$H$2</f>
        <v>179</v>
      </c>
      <c r="E22">
        <f>D22+$I$2</f>
        <v>180</v>
      </c>
      <c r="F22">
        <f>E22+$J$2</f>
        <v>181</v>
      </c>
    </row>
    <row r="23" spans="1:6" x14ac:dyDescent="0.2">
      <c r="A23" t="s">
        <v>102</v>
      </c>
      <c r="C23">
        <f>F22</f>
        <v>181</v>
      </c>
      <c r="D23">
        <f>C23+$L$2</f>
        <v>182</v>
      </c>
      <c r="E23">
        <f>D23+$M$2</f>
        <v>183</v>
      </c>
      <c r="F23">
        <f>E23+$N$2</f>
        <v>184</v>
      </c>
    </row>
    <row r="24" spans="1:6" x14ac:dyDescent="0.2">
      <c r="A24" t="s">
        <v>112</v>
      </c>
      <c r="B24">
        <f>D8-2</f>
        <v>8</v>
      </c>
      <c r="C24">
        <f t="shared" ref="C24:C25" si="4">B24+$P$2</f>
        <v>10</v>
      </c>
      <c r="D24">
        <f t="shared" ref="D24:D25" si="5">C24+$Q$2</f>
        <v>18</v>
      </c>
      <c r="E24">
        <f t="shared" ref="E24:E25" si="6">D24+$R$2</f>
        <v>20</v>
      </c>
      <c r="F24">
        <f t="shared" ref="F24:F25" si="7">E24+$S$2</f>
        <v>24</v>
      </c>
    </row>
    <row r="25" spans="1:6" x14ac:dyDescent="0.2">
      <c r="A25" t="s">
        <v>103</v>
      </c>
      <c r="B25">
        <f>B24+8</f>
        <v>16</v>
      </c>
      <c r="C25">
        <f t="shared" si="4"/>
        <v>18</v>
      </c>
      <c r="D25">
        <f t="shared" si="5"/>
        <v>26</v>
      </c>
      <c r="E25">
        <f t="shared" si="6"/>
        <v>28</v>
      </c>
      <c r="F25">
        <f t="shared" si="7"/>
        <v>32</v>
      </c>
    </row>
    <row r="26" spans="1:6" x14ac:dyDescent="0.2">
      <c r="A26" t="s">
        <v>116</v>
      </c>
      <c r="B26">
        <f>B25+8</f>
        <v>24</v>
      </c>
      <c r="C26">
        <f>B26+$P$2</f>
        <v>26</v>
      </c>
      <c r="D26">
        <f>C26+$Q$2</f>
        <v>34</v>
      </c>
      <c r="E26">
        <f>D26+$R$2</f>
        <v>36</v>
      </c>
      <c r="F26">
        <f>E26+$S$2</f>
        <v>40</v>
      </c>
    </row>
    <row r="27" spans="1:6" x14ac:dyDescent="0.2">
      <c r="A27" t="s">
        <v>118</v>
      </c>
      <c r="B27">
        <f>D26-2</f>
        <v>32</v>
      </c>
      <c r="C27">
        <f>B27+$P$2</f>
        <v>34</v>
      </c>
      <c r="D27">
        <f>C27+$Q$2</f>
        <v>42</v>
      </c>
      <c r="E27">
        <f>D27+$R$2</f>
        <v>44</v>
      </c>
      <c r="F27">
        <f>E27+$S$2</f>
        <v>48</v>
      </c>
    </row>
    <row r="28" spans="1:6" x14ac:dyDescent="0.2">
      <c r="A28" t="s">
        <v>110</v>
      </c>
      <c r="B28">
        <f>D27-2</f>
        <v>40</v>
      </c>
      <c r="C28">
        <f>B28+$P$2</f>
        <v>42</v>
      </c>
      <c r="D28">
        <f>C28+$Q$2</f>
        <v>50</v>
      </c>
      <c r="E28">
        <f>D28+$R$2</f>
        <v>52</v>
      </c>
      <c r="F28">
        <f>E28+$S$2</f>
        <v>56</v>
      </c>
    </row>
    <row r="29" spans="1:6" x14ac:dyDescent="0.2">
      <c r="A29" t="s">
        <v>114</v>
      </c>
      <c r="B29">
        <f>B12+8</f>
        <v>56</v>
      </c>
      <c r="C29">
        <f>B29+$P$2</f>
        <v>58</v>
      </c>
      <c r="D29">
        <f>C29+$Q$2</f>
        <v>66</v>
      </c>
      <c r="E29">
        <f>D29+$R$2</f>
        <v>68</v>
      </c>
      <c r="F29">
        <f>E29+$S$2</f>
        <v>72</v>
      </c>
    </row>
    <row r="30" spans="1:6" x14ac:dyDescent="0.2">
      <c r="A30" t="s">
        <v>115</v>
      </c>
      <c r="B30">
        <f>B29+8</f>
        <v>64</v>
      </c>
      <c r="C30">
        <f>B30+$P$2</f>
        <v>66</v>
      </c>
      <c r="D30">
        <f>C30+$Q$2</f>
        <v>74</v>
      </c>
      <c r="E30">
        <f>D30+$R$2</f>
        <v>76</v>
      </c>
      <c r="F30">
        <f>E30+$S$2</f>
        <v>80</v>
      </c>
    </row>
    <row r="31" spans="1:6" x14ac:dyDescent="0.2">
      <c r="A31" t="s">
        <v>124</v>
      </c>
      <c r="B31">
        <f>B30+8</f>
        <v>72</v>
      </c>
      <c r="C31">
        <f>B31+$Y$2</f>
        <v>74</v>
      </c>
      <c r="D31">
        <f>C31+$Z$2</f>
        <v>97</v>
      </c>
      <c r="E31">
        <f>D31+$AA$2</f>
        <v>84</v>
      </c>
      <c r="F31">
        <f>E31+$AB$2</f>
        <v>100</v>
      </c>
    </row>
    <row r="32" spans="1:6" x14ac:dyDescent="0.2">
      <c r="A32" t="s">
        <v>107</v>
      </c>
      <c r="B32">
        <f>D16-2</f>
        <v>103</v>
      </c>
      <c r="C32">
        <f>B32+$P$2</f>
        <v>105</v>
      </c>
      <c r="D32">
        <f>C32+$Q$2</f>
        <v>113</v>
      </c>
      <c r="E32">
        <f>D32+$R$2</f>
        <v>115</v>
      </c>
      <c r="F32">
        <f>E32+$S$2</f>
        <v>119</v>
      </c>
    </row>
    <row r="33" spans="1:6" x14ac:dyDescent="0.2">
      <c r="A33" t="s">
        <v>108</v>
      </c>
      <c r="B33">
        <f>B32+8</f>
        <v>111</v>
      </c>
      <c r="C33">
        <f>B33+$P$2</f>
        <v>113</v>
      </c>
      <c r="D33">
        <f>C33+$Q$2</f>
        <v>121</v>
      </c>
      <c r="E33">
        <f>D33+$R$2</f>
        <v>123</v>
      </c>
      <c r="F33">
        <f>E33+$S$2</f>
        <v>127</v>
      </c>
    </row>
    <row r="34" spans="1:6" x14ac:dyDescent="0.2">
      <c r="A34" t="s">
        <v>125</v>
      </c>
      <c r="B34">
        <f>D33-2</f>
        <v>119</v>
      </c>
      <c r="C34">
        <f>B34+$Y$2</f>
        <v>121</v>
      </c>
      <c r="D34">
        <f>C34+$Z$2</f>
        <v>144</v>
      </c>
      <c r="E34">
        <f>D34+$AA$2</f>
        <v>131</v>
      </c>
      <c r="F34">
        <f>E34+$AB$2</f>
        <v>147</v>
      </c>
    </row>
  </sheetData>
  <sheetProtection sheet="1" objects="1" scenarios="1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v0</vt:lpstr>
      <vt:lpstr>normal</vt:lpstr>
      <vt:lpstr>Sheet6</vt:lpstr>
      <vt:lpstr>FME c1</vt:lpstr>
      <vt:lpstr>FME c1 round0</vt:lpstr>
      <vt:lpstr>FME c0 round1</vt:lpstr>
      <vt:lpstr>FME c0 round2-4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Huangtao Wu</dc:creator>
  <cp:lastModifiedBy>Huangtao Wu</cp:lastModifiedBy>
  <dcterms:created xsi:type="dcterms:W3CDTF">2025-12-10T06:48:06Z</dcterms:created>
  <dcterms:modified xsi:type="dcterms:W3CDTF">2025-12-15T03:13:57Z</dcterms:modified>
</cp:coreProperties>
</file>