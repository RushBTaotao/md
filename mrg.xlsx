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awu01\Desktop\md\"/>
    </mc:Choice>
  </mc:AlternateContent>
  <xr:revisionPtr revIDLastSave="0" documentId="13_ncr:1_{55613F48-645F-41B8-967B-25E08133B339}" xr6:coauthVersionLast="33" xr6:coauthVersionMax="33" xr10:uidLastSave="{00000000-0000-0000-0000-000000000000}"/>
  <bookViews>
    <workbookView xWindow="0" yWindow="0" windowWidth="28800" windowHeight="12135" xr2:uid="{39627F01-7337-4F89-8A01-1D6EB359A865}"/>
  </bookViews>
  <sheets>
    <sheet name="v0" sheetId="1" r:id="rId1"/>
    <sheet name="PMF c1 round0-3" sheetId="7" r:id="rId2"/>
    <sheet name="PMF c0 round0" sheetId="3" r:id="rId3"/>
    <sheet name="PMF c0 round1-3" sheetId="4" r:id="rId4"/>
    <sheet name="PMF UV c0 round0" sheetId="9" r:id="rId5"/>
    <sheet name="PMF UV c1 round0-3" sheetId="11" r:id="rId6"/>
    <sheet name="TQITQ" sheetId="10" r:id="rId7"/>
  </sheets>
  <calcPr calcId="17901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0" i="1" l="1"/>
  <c r="E54" i="1"/>
  <c r="E53" i="1"/>
  <c r="E49" i="1"/>
  <c r="E48" i="1"/>
  <c r="E45" i="1"/>
  <c r="E44" i="1"/>
  <c r="E41" i="1"/>
  <c r="E40" i="1"/>
  <c r="B16" i="11"/>
  <c r="C16" i="11" s="1"/>
  <c r="D16" i="11" s="1"/>
  <c r="E16" i="11" s="1"/>
  <c r="F16" i="11" s="1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K15" i="10"/>
  <c r="L15" i="10"/>
  <c r="J16" i="10"/>
  <c r="K16" i="10"/>
  <c r="L16" i="10"/>
  <c r="J17" i="10"/>
  <c r="K17" i="10"/>
  <c r="L17" i="10"/>
  <c r="J18" i="10"/>
  <c r="K18" i="10"/>
  <c r="L18" i="10"/>
  <c r="J19" i="10"/>
  <c r="K19" i="10"/>
  <c r="L19" i="10"/>
  <c r="J20" i="10"/>
  <c r="K20" i="10"/>
  <c r="L20" i="10"/>
  <c r="J21" i="10"/>
  <c r="K21" i="10"/>
  <c r="L21" i="10"/>
  <c r="J22" i="10"/>
  <c r="K22" i="10"/>
  <c r="L22" i="10"/>
  <c r="J23" i="10"/>
  <c r="K23" i="10"/>
  <c r="L23" i="10"/>
  <c r="J24" i="10"/>
  <c r="K24" i="10"/>
  <c r="L24" i="10"/>
  <c r="J25" i="10"/>
  <c r="K25" i="10"/>
  <c r="L25" i="10"/>
  <c r="J26" i="10"/>
  <c r="K26" i="10"/>
  <c r="L26" i="10"/>
  <c r="J27" i="10"/>
  <c r="K27" i="10"/>
  <c r="L27" i="10"/>
  <c r="J28" i="10"/>
  <c r="K28" i="10"/>
  <c r="L28" i="10"/>
  <c r="J29" i="10"/>
  <c r="K29" i="10"/>
  <c r="L29" i="10"/>
  <c r="J30" i="10"/>
  <c r="K30" i="10"/>
  <c r="L30" i="10"/>
  <c r="J31" i="10"/>
  <c r="K31" i="10"/>
  <c r="L31" i="10"/>
  <c r="J32" i="10"/>
  <c r="K32" i="10"/>
  <c r="L32" i="10"/>
  <c r="J33" i="10"/>
  <c r="K33" i="10"/>
  <c r="L33" i="10"/>
  <c r="J34" i="10"/>
  <c r="K34" i="10"/>
  <c r="L34" i="10"/>
  <c r="J35" i="10"/>
  <c r="K35" i="10"/>
  <c r="L35" i="10"/>
  <c r="J2" i="10"/>
  <c r="C17" i="11"/>
  <c r="D17" i="11" s="1"/>
  <c r="B18" i="11" s="1"/>
  <c r="C18" i="11" s="1"/>
  <c r="D18" i="11" s="1"/>
  <c r="E18" i="11" s="1"/>
  <c r="F18" i="11" s="1"/>
  <c r="L14" i="10" s="1"/>
  <c r="C13" i="11"/>
  <c r="D13" i="11" s="1"/>
  <c r="C9" i="11"/>
  <c r="D9" i="11" s="1"/>
  <c r="C5" i="11"/>
  <c r="D5" i="11" s="1"/>
  <c r="B6" i="11" s="1"/>
  <c r="C6" i="11" s="1"/>
  <c r="D6" i="11" s="1"/>
  <c r="G3" i="10"/>
  <c r="H3" i="10"/>
  <c r="I3" i="10"/>
  <c r="G4" i="10"/>
  <c r="H4" i="10"/>
  <c r="G5" i="10"/>
  <c r="H5" i="10"/>
  <c r="G6" i="10"/>
  <c r="H6" i="10"/>
  <c r="I6" i="10"/>
  <c r="G7" i="10"/>
  <c r="H7" i="10"/>
  <c r="I7" i="10"/>
  <c r="G8" i="10"/>
  <c r="H8" i="10"/>
  <c r="G9" i="10"/>
  <c r="H9" i="10"/>
  <c r="G10" i="10"/>
  <c r="H10" i="10"/>
  <c r="I10" i="10"/>
  <c r="G11" i="10"/>
  <c r="H11" i="10"/>
  <c r="I11" i="10"/>
  <c r="G12" i="10"/>
  <c r="H12" i="10"/>
  <c r="G13" i="10"/>
  <c r="H13" i="10"/>
  <c r="G14" i="10"/>
  <c r="H14" i="10"/>
  <c r="I14" i="10"/>
  <c r="G15" i="10"/>
  <c r="H15" i="10"/>
  <c r="I15" i="10"/>
  <c r="G16" i="10"/>
  <c r="H16" i="10"/>
  <c r="I16" i="10"/>
  <c r="G17" i="10"/>
  <c r="H17" i="10"/>
  <c r="I17" i="10"/>
  <c r="G18" i="10"/>
  <c r="H18" i="10"/>
  <c r="I18" i="10"/>
  <c r="G19" i="10"/>
  <c r="H19" i="10"/>
  <c r="I19" i="10"/>
  <c r="G20" i="10"/>
  <c r="H20" i="10"/>
  <c r="I20" i="10"/>
  <c r="G21" i="10"/>
  <c r="H21" i="10"/>
  <c r="I21" i="10"/>
  <c r="G22" i="10"/>
  <c r="H22" i="10"/>
  <c r="I22" i="10"/>
  <c r="G23" i="10"/>
  <c r="H23" i="10"/>
  <c r="I23" i="10"/>
  <c r="G24" i="10"/>
  <c r="H24" i="10"/>
  <c r="I24" i="10"/>
  <c r="G25" i="10"/>
  <c r="H25" i="10"/>
  <c r="I25" i="10"/>
  <c r="G26" i="10"/>
  <c r="H26" i="10"/>
  <c r="I26" i="10"/>
  <c r="G27" i="10"/>
  <c r="H27" i="10"/>
  <c r="I27" i="10"/>
  <c r="G28" i="10"/>
  <c r="H28" i="10"/>
  <c r="I28" i="10"/>
  <c r="G29" i="10"/>
  <c r="H29" i="10"/>
  <c r="I29" i="10"/>
  <c r="G30" i="10"/>
  <c r="H30" i="10"/>
  <c r="I30" i="10"/>
  <c r="G31" i="10"/>
  <c r="H31" i="10"/>
  <c r="I31" i="10"/>
  <c r="G32" i="10"/>
  <c r="H32" i="10"/>
  <c r="I32" i="10"/>
  <c r="G33" i="10"/>
  <c r="H33" i="10"/>
  <c r="I33" i="10"/>
  <c r="G34" i="10"/>
  <c r="H34" i="10"/>
  <c r="I34" i="10"/>
  <c r="G35" i="10"/>
  <c r="H35" i="10"/>
  <c r="I35" i="10"/>
  <c r="I2" i="10"/>
  <c r="H2" i="10"/>
  <c r="G2" i="10"/>
  <c r="E3" i="10"/>
  <c r="F3" i="10"/>
  <c r="E4" i="10"/>
  <c r="F4" i="10"/>
  <c r="E5" i="10"/>
  <c r="F5" i="10"/>
  <c r="E6" i="10"/>
  <c r="F6" i="10"/>
  <c r="E7" i="10"/>
  <c r="F7" i="10"/>
  <c r="E8" i="10"/>
  <c r="F8" i="10"/>
  <c r="E9" i="10"/>
  <c r="F9" i="10"/>
  <c r="E10" i="10"/>
  <c r="F10" i="10"/>
  <c r="E11" i="10"/>
  <c r="F11" i="10"/>
  <c r="E12" i="10"/>
  <c r="F12" i="10"/>
  <c r="E13" i="10"/>
  <c r="F13" i="10"/>
  <c r="E14" i="10"/>
  <c r="F14" i="10"/>
  <c r="E15" i="10"/>
  <c r="F15" i="10"/>
  <c r="E16" i="10"/>
  <c r="F16" i="10"/>
  <c r="E17" i="10"/>
  <c r="F17" i="10"/>
  <c r="E18" i="10"/>
  <c r="F18" i="10"/>
  <c r="E19" i="10"/>
  <c r="F19" i="10"/>
  <c r="E20" i="10"/>
  <c r="F20" i="10"/>
  <c r="E21" i="10"/>
  <c r="F21" i="10"/>
  <c r="E22" i="10"/>
  <c r="F22" i="10"/>
  <c r="E23" i="10"/>
  <c r="F23" i="10"/>
  <c r="E24" i="10"/>
  <c r="F24" i="10"/>
  <c r="E25" i="10"/>
  <c r="F25" i="10"/>
  <c r="E26" i="10"/>
  <c r="F26" i="10"/>
  <c r="E27" i="10"/>
  <c r="F27" i="10"/>
  <c r="E28" i="10"/>
  <c r="F28" i="10"/>
  <c r="E29" i="10"/>
  <c r="F29" i="10"/>
  <c r="E30" i="10"/>
  <c r="F30" i="10"/>
  <c r="E31" i="10"/>
  <c r="F31" i="10"/>
  <c r="E32" i="10"/>
  <c r="F32" i="10"/>
  <c r="E33" i="10"/>
  <c r="F33" i="10"/>
  <c r="E34" i="10"/>
  <c r="F34" i="10"/>
  <c r="E35" i="10"/>
  <c r="F35" i="10"/>
  <c r="F2" i="10"/>
  <c r="E2" i="10"/>
  <c r="B33" i="10"/>
  <c r="C33" i="10"/>
  <c r="B34" i="10"/>
  <c r="C34" i="10"/>
  <c r="B35" i="10"/>
  <c r="C35" i="10"/>
  <c r="B3" i="10"/>
  <c r="C3" i="10"/>
  <c r="B4" i="10"/>
  <c r="C4" i="10"/>
  <c r="B5" i="10"/>
  <c r="C5" i="10"/>
  <c r="B6" i="10"/>
  <c r="C6" i="10"/>
  <c r="B7" i="10"/>
  <c r="C7" i="10"/>
  <c r="B8" i="10"/>
  <c r="C8" i="10"/>
  <c r="B9" i="10"/>
  <c r="C9" i="10"/>
  <c r="B10" i="10"/>
  <c r="C10" i="10"/>
  <c r="B11" i="10"/>
  <c r="C11" i="10"/>
  <c r="B12" i="10"/>
  <c r="C12" i="10"/>
  <c r="B13" i="10"/>
  <c r="C13" i="10"/>
  <c r="B14" i="10"/>
  <c r="C14" i="10"/>
  <c r="B15" i="10"/>
  <c r="C15" i="10"/>
  <c r="B16" i="10"/>
  <c r="C16" i="10"/>
  <c r="B17" i="10"/>
  <c r="C17" i="10"/>
  <c r="B18" i="10"/>
  <c r="C18" i="10"/>
  <c r="B19" i="10"/>
  <c r="C19" i="10"/>
  <c r="B20" i="10"/>
  <c r="C20" i="10"/>
  <c r="B21" i="10"/>
  <c r="C21" i="10"/>
  <c r="B22" i="10"/>
  <c r="C22" i="10"/>
  <c r="B23" i="10"/>
  <c r="C23" i="10"/>
  <c r="B24" i="10"/>
  <c r="C24" i="10"/>
  <c r="B25" i="10"/>
  <c r="C25" i="10"/>
  <c r="B26" i="10"/>
  <c r="C26" i="10"/>
  <c r="B27" i="10"/>
  <c r="C27" i="10"/>
  <c r="B28" i="10"/>
  <c r="C28" i="10"/>
  <c r="B29" i="10"/>
  <c r="C29" i="10"/>
  <c r="B30" i="10"/>
  <c r="C30" i="10"/>
  <c r="B31" i="10"/>
  <c r="C31" i="10"/>
  <c r="B32" i="10"/>
  <c r="C32" i="10"/>
  <c r="C2" i="10"/>
  <c r="B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2" i="10"/>
  <c r="A33" i="10"/>
  <c r="A34" i="10"/>
  <c r="A35" i="10"/>
  <c r="A3" i="10"/>
  <c r="A4" i="10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2" i="10"/>
  <c r="B6" i="9"/>
  <c r="B7" i="9" s="1"/>
  <c r="C5" i="9"/>
  <c r="D5" i="9" s="1"/>
  <c r="E5" i="9" s="1"/>
  <c r="F5" i="9" s="1"/>
  <c r="T29" i="1"/>
  <c r="T28" i="1"/>
  <c r="T27" i="1"/>
  <c r="U27" i="1" s="1"/>
  <c r="T26" i="1"/>
  <c r="T25" i="1"/>
  <c r="U25" i="1" s="1"/>
  <c r="T21" i="1"/>
  <c r="T20" i="1"/>
  <c r="T19" i="1"/>
  <c r="T18" i="1"/>
  <c r="T17" i="1"/>
  <c r="T11" i="1"/>
  <c r="T12" i="1"/>
  <c r="T13" i="1"/>
  <c r="T14" i="1"/>
  <c r="T10" i="1"/>
  <c r="E35" i="1"/>
  <c r="E34" i="1"/>
  <c r="E33" i="1"/>
  <c r="E32" i="1"/>
  <c r="E28" i="1"/>
  <c r="E27" i="1"/>
  <c r="E26" i="1"/>
  <c r="E25" i="1"/>
  <c r="E13" i="1"/>
  <c r="E12" i="1"/>
  <c r="E11" i="1"/>
  <c r="E10" i="1"/>
  <c r="E18" i="1"/>
  <c r="E19" i="1"/>
  <c r="E20" i="1"/>
  <c r="E17" i="1"/>
  <c r="C5" i="7"/>
  <c r="D5" i="7" s="1"/>
  <c r="C8" i="4"/>
  <c r="D8" i="4" s="1"/>
  <c r="B6" i="4"/>
  <c r="C6" i="4" s="1"/>
  <c r="D6" i="4" s="1"/>
  <c r="E6" i="4" s="1"/>
  <c r="F6" i="4" s="1"/>
  <c r="C5" i="4"/>
  <c r="D5" i="4" s="1"/>
  <c r="E5" i="4" s="1"/>
  <c r="F5" i="4" s="1"/>
  <c r="B6" i="3"/>
  <c r="B7" i="3" s="1"/>
  <c r="C5" i="3"/>
  <c r="D5" i="3" s="1"/>
  <c r="E5" i="3" s="1"/>
  <c r="F5" i="3" s="1"/>
  <c r="K14" i="10" l="1"/>
  <c r="B7" i="11"/>
  <c r="C7" i="11" s="1"/>
  <c r="D7" i="11" s="1"/>
  <c r="E6" i="11"/>
  <c r="B10" i="11"/>
  <c r="C10" i="11" s="1"/>
  <c r="D10" i="11" s="1"/>
  <c r="E9" i="11"/>
  <c r="B14" i="11"/>
  <c r="C14" i="11" s="1"/>
  <c r="D14" i="11" s="1"/>
  <c r="E13" i="11"/>
  <c r="E17" i="11"/>
  <c r="E5" i="11"/>
  <c r="C7" i="9"/>
  <c r="D7" i="9" s="1"/>
  <c r="E7" i="9" s="1"/>
  <c r="F7" i="9" s="1"/>
  <c r="B8" i="9"/>
  <c r="C6" i="9"/>
  <c r="D6" i="9" s="1"/>
  <c r="E6" i="9" s="1"/>
  <c r="F6" i="9" s="1"/>
  <c r="B6" i="7"/>
  <c r="C6" i="7" s="1"/>
  <c r="D6" i="7" s="1"/>
  <c r="E5" i="7"/>
  <c r="F5" i="7" s="1"/>
  <c r="B24" i="4"/>
  <c r="E8" i="4"/>
  <c r="B7" i="4"/>
  <c r="C7" i="4" s="1"/>
  <c r="D7" i="4" s="1"/>
  <c r="E7" i="4" s="1"/>
  <c r="F7" i="4" s="1"/>
  <c r="C7" i="3"/>
  <c r="D7" i="3" s="1"/>
  <c r="E7" i="3" s="1"/>
  <c r="F7" i="3" s="1"/>
  <c r="B8" i="3"/>
  <c r="C6" i="3"/>
  <c r="D6" i="3" s="1"/>
  <c r="E6" i="3" s="1"/>
  <c r="F6" i="3" s="1"/>
  <c r="F9" i="11" l="1"/>
  <c r="L6" i="10" s="1"/>
  <c r="K6" i="10"/>
  <c r="F17" i="11"/>
  <c r="L13" i="10" s="1"/>
  <c r="K13" i="10"/>
  <c r="F13" i="11"/>
  <c r="L10" i="10" s="1"/>
  <c r="K10" i="10"/>
  <c r="F5" i="11"/>
  <c r="L2" i="10" s="1"/>
  <c r="K2" i="10"/>
  <c r="F6" i="11"/>
  <c r="L3" i="10" s="1"/>
  <c r="K3" i="10"/>
  <c r="E14" i="11"/>
  <c r="B15" i="11"/>
  <c r="C15" i="11" s="1"/>
  <c r="D15" i="11" s="1"/>
  <c r="E15" i="11" s="1"/>
  <c r="B11" i="11"/>
  <c r="C11" i="11" s="1"/>
  <c r="D11" i="11" s="1"/>
  <c r="E10" i="11"/>
  <c r="E7" i="11"/>
  <c r="B8" i="11"/>
  <c r="C8" i="11" s="1"/>
  <c r="D8" i="11" s="1"/>
  <c r="E8" i="11" s="1"/>
  <c r="C8" i="9"/>
  <c r="D8" i="9" s="1"/>
  <c r="E8" i="9" s="1"/>
  <c r="B25" i="9"/>
  <c r="B7" i="7"/>
  <c r="C7" i="7" s="1"/>
  <c r="D7" i="7" s="1"/>
  <c r="E6" i="7"/>
  <c r="F6" i="7" s="1"/>
  <c r="C9" i="4"/>
  <c r="D9" i="4" s="1"/>
  <c r="E9" i="4" s="1"/>
  <c r="F9" i="4" s="1"/>
  <c r="C10" i="4" s="1"/>
  <c r="D10" i="4" s="1"/>
  <c r="E10" i="4" s="1"/>
  <c r="F10" i="4" s="1"/>
  <c r="C11" i="4" s="1"/>
  <c r="D11" i="4" s="1"/>
  <c r="E11" i="4" s="1"/>
  <c r="F11" i="4" s="1"/>
  <c r="F8" i="4"/>
  <c r="B25" i="4"/>
  <c r="C24" i="4"/>
  <c r="D24" i="4" s="1"/>
  <c r="E24" i="4" s="1"/>
  <c r="F24" i="4" s="1"/>
  <c r="C8" i="3"/>
  <c r="D8" i="3" s="1"/>
  <c r="E8" i="3" s="1"/>
  <c r="B25" i="3"/>
  <c r="F7" i="11" l="1"/>
  <c r="L4" i="10" s="1"/>
  <c r="K4" i="10"/>
  <c r="F8" i="11"/>
  <c r="L5" i="10" s="1"/>
  <c r="K5" i="10"/>
  <c r="F10" i="11"/>
  <c r="L7" i="10" s="1"/>
  <c r="K7" i="10"/>
  <c r="F15" i="11"/>
  <c r="L12" i="10" s="1"/>
  <c r="K12" i="10"/>
  <c r="F14" i="11"/>
  <c r="L11" i="10" s="1"/>
  <c r="K11" i="10"/>
  <c r="B12" i="11"/>
  <c r="C12" i="11" s="1"/>
  <c r="D12" i="11" s="1"/>
  <c r="E12" i="11" s="1"/>
  <c r="E11" i="11"/>
  <c r="B26" i="9"/>
  <c r="C25" i="9"/>
  <c r="D25" i="9" s="1"/>
  <c r="E25" i="9" s="1"/>
  <c r="F25" i="9" s="1"/>
  <c r="C9" i="9"/>
  <c r="D9" i="9" s="1"/>
  <c r="E9" i="9" s="1"/>
  <c r="F9" i="9" s="1"/>
  <c r="C10" i="9" s="1"/>
  <c r="D10" i="9" s="1"/>
  <c r="E10" i="9" s="1"/>
  <c r="F10" i="9" s="1"/>
  <c r="C11" i="9" s="1"/>
  <c r="D11" i="9" s="1"/>
  <c r="E11" i="9" s="1"/>
  <c r="F11" i="9" s="1"/>
  <c r="F8" i="9"/>
  <c r="E7" i="7"/>
  <c r="F7" i="7" s="1"/>
  <c r="I4" i="10" s="1"/>
  <c r="B8" i="7"/>
  <c r="C8" i="7" s="1"/>
  <c r="D8" i="7" s="1"/>
  <c r="C25" i="4"/>
  <c r="D25" i="4" s="1"/>
  <c r="E25" i="4" s="1"/>
  <c r="F25" i="4" s="1"/>
  <c r="B26" i="4"/>
  <c r="C26" i="4" s="1"/>
  <c r="D26" i="4" s="1"/>
  <c r="B26" i="3"/>
  <c r="C25" i="3"/>
  <c r="D25" i="3" s="1"/>
  <c r="E25" i="3" s="1"/>
  <c r="F25" i="3" s="1"/>
  <c r="C9" i="3"/>
  <c r="D9" i="3" s="1"/>
  <c r="E9" i="3" s="1"/>
  <c r="F9" i="3" s="1"/>
  <c r="C10" i="3" s="1"/>
  <c r="D10" i="3" s="1"/>
  <c r="E10" i="3" s="1"/>
  <c r="F10" i="3" s="1"/>
  <c r="C11" i="3" s="1"/>
  <c r="D11" i="3" s="1"/>
  <c r="E11" i="3" s="1"/>
  <c r="F11" i="3" s="1"/>
  <c r="F8" i="3"/>
  <c r="F11" i="11" l="1"/>
  <c r="L8" i="10" s="1"/>
  <c r="K8" i="10"/>
  <c r="F12" i="11"/>
  <c r="L9" i="10" s="1"/>
  <c r="K9" i="10"/>
  <c r="C26" i="9"/>
  <c r="D26" i="9" s="1"/>
  <c r="E26" i="9" s="1"/>
  <c r="F26" i="9" s="1"/>
  <c r="B27" i="9"/>
  <c r="C27" i="9" s="1"/>
  <c r="D27" i="9" s="1"/>
  <c r="B9" i="7"/>
  <c r="C9" i="7" s="1"/>
  <c r="D9" i="7" s="1"/>
  <c r="E8" i="7"/>
  <c r="F8" i="7" s="1"/>
  <c r="I5" i="10" s="1"/>
  <c r="E26" i="4"/>
  <c r="F26" i="4" s="1"/>
  <c r="B27" i="4"/>
  <c r="C27" i="4" s="1"/>
  <c r="D27" i="4" s="1"/>
  <c r="C26" i="3"/>
  <c r="D26" i="3" s="1"/>
  <c r="E26" i="3" s="1"/>
  <c r="F26" i="3" s="1"/>
  <c r="B27" i="3"/>
  <c r="C27" i="3" s="1"/>
  <c r="D27" i="3" s="1"/>
  <c r="E27" i="9" l="1"/>
  <c r="F27" i="9" s="1"/>
  <c r="B28" i="9"/>
  <c r="C28" i="9" s="1"/>
  <c r="D28" i="9" s="1"/>
  <c r="B10" i="7"/>
  <c r="C10" i="7" s="1"/>
  <c r="D10" i="7" s="1"/>
  <c r="E9" i="7"/>
  <c r="F9" i="7" s="1"/>
  <c r="B28" i="4"/>
  <c r="C28" i="4" s="1"/>
  <c r="D28" i="4" s="1"/>
  <c r="E27" i="4"/>
  <c r="F27" i="4" s="1"/>
  <c r="E27" i="3"/>
  <c r="F27" i="3" s="1"/>
  <c r="B28" i="3"/>
  <c r="C28" i="3" s="1"/>
  <c r="D28" i="3" s="1"/>
  <c r="B29" i="9" l="1"/>
  <c r="C29" i="9" s="1"/>
  <c r="D29" i="9" s="1"/>
  <c r="E28" i="9"/>
  <c r="F28" i="9" s="1"/>
  <c r="E10" i="7"/>
  <c r="F10" i="7" s="1"/>
  <c r="B11" i="7"/>
  <c r="C11" i="7" s="1"/>
  <c r="D11" i="7" s="1"/>
  <c r="B12" i="4"/>
  <c r="E28" i="4"/>
  <c r="F28" i="4" s="1"/>
  <c r="B29" i="3"/>
  <c r="C29" i="3" s="1"/>
  <c r="D29" i="3" s="1"/>
  <c r="E28" i="3"/>
  <c r="F28" i="3" s="1"/>
  <c r="B12" i="9" l="1"/>
  <c r="E29" i="9"/>
  <c r="F29" i="9" s="1"/>
  <c r="B12" i="7"/>
  <c r="C12" i="7" s="1"/>
  <c r="D12" i="7" s="1"/>
  <c r="E11" i="7"/>
  <c r="F11" i="7" s="1"/>
  <c r="I8" i="10" s="1"/>
  <c r="C12" i="4"/>
  <c r="D12" i="4" s="1"/>
  <c r="E12" i="4" s="1"/>
  <c r="B29" i="4"/>
  <c r="B12" i="3"/>
  <c r="E29" i="3"/>
  <c r="F29" i="3" s="1"/>
  <c r="B30" i="9" l="1"/>
  <c r="C12" i="9"/>
  <c r="D12" i="9" s="1"/>
  <c r="E12" i="9" s="1"/>
  <c r="E12" i="7"/>
  <c r="F12" i="7" s="1"/>
  <c r="I9" i="10" s="1"/>
  <c r="B13" i="7"/>
  <c r="C13" i="7" s="1"/>
  <c r="D13" i="7" s="1"/>
  <c r="B30" i="4"/>
  <c r="C29" i="4"/>
  <c r="D29" i="4" s="1"/>
  <c r="E29" i="4" s="1"/>
  <c r="F29" i="4" s="1"/>
  <c r="C13" i="4"/>
  <c r="D13" i="4" s="1"/>
  <c r="E13" i="4" s="1"/>
  <c r="F13" i="4" s="1"/>
  <c r="C14" i="4" s="1"/>
  <c r="D14" i="4" s="1"/>
  <c r="E14" i="4" s="1"/>
  <c r="F14" i="4" s="1"/>
  <c r="C15" i="4" s="1"/>
  <c r="D15" i="4" s="1"/>
  <c r="E15" i="4" s="1"/>
  <c r="F15" i="4" s="1"/>
  <c r="F12" i="4"/>
  <c r="C12" i="3"/>
  <c r="D12" i="3" s="1"/>
  <c r="E12" i="3" s="1"/>
  <c r="B30" i="3"/>
  <c r="F12" i="9" l="1"/>
  <c r="C13" i="9"/>
  <c r="D13" i="9" s="1"/>
  <c r="E13" i="9" s="1"/>
  <c r="F13" i="9" s="1"/>
  <c r="C14" i="9" s="1"/>
  <c r="D14" i="9" s="1"/>
  <c r="E14" i="9" s="1"/>
  <c r="F14" i="9" s="1"/>
  <c r="C15" i="9" s="1"/>
  <c r="D15" i="9" s="1"/>
  <c r="E15" i="9" s="1"/>
  <c r="F15" i="9" s="1"/>
  <c r="B31" i="9"/>
  <c r="C30" i="9"/>
  <c r="D30" i="9" s="1"/>
  <c r="E30" i="9" s="1"/>
  <c r="F30" i="9" s="1"/>
  <c r="B14" i="7"/>
  <c r="C14" i="7" s="1"/>
  <c r="D14" i="7" s="1"/>
  <c r="E13" i="7"/>
  <c r="F13" i="7" s="1"/>
  <c r="B31" i="4"/>
  <c r="C31" i="4" s="1"/>
  <c r="D31" i="4" s="1"/>
  <c r="C30" i="4"/>
  <c r="D30" i="4" s="1"/>
  <c r="E30" i="4" s="1"/>
  <c r="F30" i="4" s="1"/>
  <c r="B31" i="3"/>
  <c r="C30" i="3"/>
  <c r="D30" i="3" s="1"/>
  <c r="E30" i="3" s="1"/>
  <c r="F30" i="3" s="1"/>
  <c r="F12" i="3"/>
  <c r="C13" i="3"/>
  <c r="D13" i="3" s="1"/>
  <c r="E13" i="3" s="1"/>
  <c r="F13" i="3" s="1"/>
  <c r="C14" i="3" s="1"/>
  <c r="D14" i="3" s="1"/>
  <c r="E14" i="3" s="1"/>
  <c r="F14" i="3" s="1"/>
  <c r="C15" i="3" s="1"/>
  <c r="D15" i="3" s="1"/>
  <c r="E15" i="3" s="1"/>
  <c r="F15" i="3" s="1"/>
  <c r="B32" i="9" l="1"/>
  <c r="C32" i="9" s="1"/>
  <c r="D32" i="9" s="1"/>
  <c r="C31" i="9"/>
  <c r="D31" i="9" s="1"/>
  <c r="E31" i="9" s="1"/>
  <c r="F31" i="9" s="1"/>
  <c r="B15" i="7"/>
  <c r="C15" i="7" s="1"/>
  <c r="D15" i="7" s="1"/>
  <c r="E14" i="7"/>
  <c r="F14" i="7" s="1"/>
  <c r="E31" i="4"/>
  <c r="F31" i="4" s="1"/>
  <c r="B16" i="4"/>
  <c r="C16" i="4" s="1"/>
  <c r="D16" i="4" s="1"/>
  <c r="B32" i="3"/>
  <c r="C32" i="3" s="1"/>
  <c r="D32" i="3" s="1"/>
  <c r="C31" i="3"/>
  <c r="D31" i="3" s="1"/>
  <c r="E31" i="3" s="1"/>
  <c r="F31" i="3" s="1"/>
  <c r="E32" i="9" l="1"/>
  <c r="F32" i="9" s="1"/>
  <c r="B16" i="9"/>
  <c r="C16" i="9" s="1"/>
  <c r="D16" i="9" s="1"/>
  <c r="E15" i="7"/>
  <c r="F15" i="7" s="1"/>
  <c r="I12" i="10" s="1"/>
  <c r="B16" i="7"/>
  <c r="C16" i="7" s="1"/>
  <c r="D16" i="7" s="1"/>
  <c r="E16" i="4"/>
  <c r="B32" i="4"/>
  <c r="E32" i="3"/>
  <c r="F32" i="3" s="1"/>
  <c r="B16" i="3"/>
  <c r="C16" i="3" s="1"/>
  <c r="D16" i="3" s="1"/>
  <c r="E16" i="9" l="1"/>
  <c r="B33" i="9"/>
  <c r="C33" i="9" s="1"/>
  <c r="D33" i="9" s="1"/>
  <c r="B17" i="7"/>
  <c r="C17" i="7" s="1"/>
  <c r="D17" i="7" s="1"/>
  <c r="E16" i="7"/>
  <c r="F16" i="7" s="1"/>
  <c r="I13" i="10" s="1"/>
  <c r="B33" i="4"/>
  <c r="C33" i="4" s="1"/>
  <c r="D33" i="4" s="1"/>
  <c r="C32" i="4"/>
  <c r="D32" i="4" s="1"/>
  <c r="E32" i="4" s="1"/>
  <c r="F32" i="4" s="1"/>
  <c r="C17" i="4"/>
  <c r="D17" i="4" s="1"/>
  <c r="E17" i="4" s="1"/>
  <c r="F17" i="4" s="1"/>
  <c r="C18" i="4" s="1"/>
  <c r="D18" i="4" s="1"/>
  <c r="E18" i="4" s="1"/>
  <c r="F18" i="4" s="1"/>
  <c r="C19" i="4" s="1"/>
  <c r="D19" i="4" s="1"/>
  <c r="E19" i="4" s="1"/>
  <c r="F19" i="4" s="1"/>
  <c r="F16" i="4"/>
  <c r="E16" i="3"/>
  <c r="B33" i="3"/>
  <c r="C33" i="3" s="1"/>
  <c r="D33" i="3" s="1"/>
  <c r="B34" i="9" l="1"/>
  <c r="E33" i="9"/>
  <c r="F33" i="9" s="1"/>
  <c r="C17" i="9"/>
  <c r="D17" i="9" s="1"/>
  <c r="E17" i="9" s="1"/>
  <c r="F17" i="9" s="1"/>
  <c r="C18" i="9" s="1"/>
  <c r="D18" i="9" s="1"/>
  <c r="E18" i="9" s="1"/>
  <c r="F18" i="9" s="1"/>
  <c r="C19" i="9" s="1"/>
  <c r="D19" i="9" s="1"/>
  <c r="E19" i="9" s="1"/>
  <c r="F19" i="9" s="1"/>
  <c r="F16" i="9"/>
  <c r="B18" i="7"/>
  <c r="C18" i="7" s="1"/>
  <c r="D18" i="7" s="1"/>
  <c r="E18" i="7" s="1"/>
  <c r="F18" i="7" s="1"/>
  <c r="E17" i="7"/>
  <c r="F17" i="7" s="1"/>
  <c r="B34" i="4"/>
  <c r="C34" i="4" s="1"/>
  <c r="D34" i="4" s="1"/>
  <c r="E33" i="4"/>
  <c r="F33" i="4" s="1"/>
  <c r="B34" i="3"/>
  <c r="E33" i="3"/>
  <c r="F33" i="3" s="1"/>
  <c r="C17" i="3"/>
  <c r="D17" i="3" s="1"/>
  <c r="E17" i="3" s="1"/>
  <c r="F17" i="3" s="1"/>
  <c r="C18" i="3" s="1"/>
  <c r="D18" i="3" s="1"/>
  <c r="E18" i="3" s="1"/>
  <c r="F18" i="3" s="1"/>
  <c r="C19" i="3" s="1"/>
  <c r="D19" i="3" s="1"/>
  <c r="E19" i="3" s="1"/>
  <c r="F19" i="3" s="1"/>
  <c r="F16" i="3"/>
  <c r="C34" i="9" l="1"/>
  <c r="D34" i="9" s="1"/>
  <c r="E34" i="9" s="1"/>
  <c r="F34" i="9" s="1"/>
  <c r="B35" i="9"/>
  <c r="C35" i="9" s="1"/>
  <c r="D35" i="9" s="1"/>
  <c r="E34" i="4"/>
  <c r="F34" i="4" s="1"/>
  <c r="B20" i="4"/>
  <c r="C20" i="4" s="1"/>
  <c r="D20" i="4" s="1"/>
  <c r="E20" i="4" s="1"/>
  <c r="C34" i="3"/>
  <c r="D34" i="3" s="1"/>
  <c r="E34" i="3" s="1"/>
  <c r="F34" i="3" s="1"/>
  <c r="B35" i="3"/>
  <c r="C35" i="3" s="1"/>
  <c r="D35" i="3" s="1"/>
  <c r="E35" i="9" l="1"/>
  <c r="F35" i="9" s="1"/>
  <c r="B20" i="9"/>
  <c r="C20" i="9" s="1"/>
  <c r="D20" i="9" s="1"/>
  <c r="E20" i="9" s="1"/>
  <c r="C21" i="4"/>
  <c r="D21" i="4" s="1"/>
  <c r="E21" i="4" s="1"/>
  <c r="F21" i="4" s="1"/>
  <c r="C22" i="4" s="1"/>
  <c r="D22" i="4" s="1"/>
  <c r="E22" i="4" s="1"/>
  <c r="F22" i="4" s="1"/>
  <c r="C23" i="4" s="1"/>
  <c r="D23" i="4" s="1"/>
  <c r="E23" i="4" s="1"/>
  <c r="F23" i="4" s="1"/>
  <c r="F20" i="4"/>
  <c r="E35" i="3"/>
  <c r="F35" i="3" s="1"/>
  <c r="B20" i="3"/>
  <c r="C20" i="3" s="1"/>
  <c r="D20" i="3" s="1"/>
  <c r="E20" i="3" s="1"/>
  <c r="C21" i="9" l="1"/>
  <c r="D21" i="9" s="1"/>
  <c r="E21" i="9" s="1"/>
  <c r="F21" i="9" s="1"/>
  <c r="C22" i="9" s="1"/>
  <c r="D22" i="9" s="1"/>
  <c r="E22" i="9" s="1"/>
  <c r="F22" i="9" s="1"/>
  <c r="C23" i="9" s="1"/>
  <c r="D23" i="9" s="1"/>
  <c r="E23" i="9" s="1"/>
  <c r="F23" i="9" s="1"/>
  <c r="D24" i="9" s="1"/>
  <c r="E24" i="9" s="1"/>
  <c r="F24" i="9" s="1"/>
  <c r="F20" i="9"/>
  <c r="C21" i="3"/>
  <c r="D21" i="3" s="1"/>
  <c r="E21" i="3" s="1"/>
  <c r="F21" i="3" s="1"/>
  <c r="C22" i="3" s="1"/>
  <c r="D22" i="3" s="1"/>
  <c r="E22" i="3" s="1"/>
  <c r="F22" i="3" s="1"/>
  <c r="C23" i="3" s="1"/>
  <c r="D23" i="3" s="1"/>
  <c r="E23" i="3" s="1"/>
  <c r="F23" i="3" s="1"/>
  <c r="D24" i="3" s="1"/>
  <c r="E24" i="3" s="1"/>
  <c r="F24" i="3" s="1"/>
  <c r="F20" i="3"/>
</calcChain>
</file>

<file path=xl/sharedStrings.xml><?xml version="1.0" encoding="utf-8"?>
<sst xmlns="http://schemas.openxmlformats.org/spreadsheetml/2006/main" count="439" uniqueCount="213">
  <si>
    <t>tile</t>
    <phoneticPr fontId="1" type="noConversion"/>
  </si>
  <si>
    <t>x</t>
    <phoneticPr fontId="1" type="noConversion"/>
  </si>
  <si>
    <t>CYCLE</t>
    <phoneticPr fontId="1" type="noConversion"/>
  </si>
  <si>
    <t>y</t>
    <phoneticPr fontId="1" type="noConversion"/>
  </si>
  <si>
    <t>MODE</t>
    <phoneticPr fontId="1" type="noConversion"/>
  </si>
  <si>
    <t>mode</t>
  </si>
  <si>
    <t>pipe begin</t>
    <phoneticPr fontId="1" type="noConversion"/>
  </si>
  <si>
    <t>input begin</t>
    <phoneticPr fontId="1" type="noConversion"/>
  </si>
  <si>
    <t>input end</t>
    <phoneticPr fontId="1" type="noConversion"/>
  </si>
  <si>
    <t>output begin</t>
    <phoneticPr fontId="1" type="noConversion"/>
  </si>
  <si>
    <t>output end</t>
    <phoneticPr fontId="1" type="noConversion"/>
  </si>
  <si>
    <t>8x8 input cc</t>
    <phoneticPr fontId="1" type="noConversion"/>
  </si>
  <si>
    <t>8x8 work cc</t>
    <phoneticPr fontId="1" type="noConversion"/>
  </si>
  <si>
    <t>8x8 output cc</t>
    <phoneticPr fontId="1" type="noConversion"/>
  </si>
  <si>
    <t>tqitq input</t>
    <phoneticPr fontId="1" type="noConversion"/>
  </si>
  <si>
    <t>tqitq out</t>
    <phoneticPr fontId="1" type="noConversion"/>
  </si>
  <si>
    <t>tqitq work</t>
    <phoneticPr fontId="1" type="noConversion"/>
  </si>
  <si>
    <t>inter pk in</t>
    <phoneticPr fontId="1" type="noConversion"/>
  </si>
  <si>
    <t>inter pk work</t>
    <phoneticPr fontId="1" type="noConversion"/>
  </si>
  <si>
    <t>inter pk out</t>
    <phoneticPr fontId="1" type="noConversion"/>
  </si>
  <si>
    <t>sel pk in</t>
    <phoneticPr fontId="1" type="noConversion"/>
  </si>
  <si>
    <t>sel pk work</t>
    <phoneticPr fontId="1" type="noConversion"/>
  </si>
  <si>
    <t>sel pk out</t>
    <phoneticPr fontId="1" type="noConversion"/>
  </si>
  <si>
    <t>dummy wait</t>
    <phoneticPr fontId="1" type="noConversion"/>
  </si>
  <si>
    <t>read latancy</t>
    <phoneticPr fontId="1" type="noConversion"/>
  </si>
  <si>
    <t>16x16 input cc</t>
    <phoneticPr fontId="1" type="noConversion"/>
  </si>
  <si>
    <t>16x16 work cc</t>
    <phoneticPr fontId="1" type="noConversion"/>
  </si>
  <si>
    <t>16x16 output cc</t>
    <phoneticPr fontId="1" type="noConversion"/>
  </si>
  <si>
    <t>32x32 input cc</t>
    <phoneticPr fontId="1" type="noConversion"/>
  </si>
  <si>
    <t>32x32 work cc</t>
    <phoneticPr fontId="1" type="noConversion"/>
  </si>
  <si>
    <t>32x32 output cc</t>
    <phoneticPr fontId="1" type="noConversion"/>
  </si>
  <si>
    <t>PMF_M8_0_a</t>
  </si>
  <si>
    <t xml:space="preserve">PMF_M8_0_b </t>
  </si>
  <si>
    <t xml:space="preserve">PMF_M8_0_c </t>
  </si>
  <si>
    <t xml:space="preserve">TQITQ_F8 </t>
  </si>
  <si>
    <t xml:space="preserve">INTER_PK8 </t>
  </si>
  <si>
    <t xml:space="preserve">SEL_PK8 </t>
  </si>
  <si>
    <t xml:space="preserve">PMF_M8_1_b </t>
  </si>
  <si>
    <t>PMF_M16_0_a</t>
  </si>
  <si>
    <t xml:space="preserve">TQITQ_M8 </t>
  </si>
  <si>
    <t xml:space="preserve">PMF_M8_2_c </t>
  </si>
  <si>
    <t>PMF_M8_3_a</t>
  </si>
  <si>
    <t xml:space="preserve">PMF_M8_3_b </t>
  </si>
  <si>
    <t xml:space="preserve">PMF_M16_0_b </t>
  </si>
  <si>
    <t xml:space="preserve">PMF_F8_3 </t>
  </si>
  <si>
    <t xml:space="preserve">PMF_M8_3_c </t>
  </si>
  <si>
    <t>PMF_M8_1_a</t>
    <phoneticPr fontId="1" type="noConversion"/>
  </si>
  <si>
    <t xml:space="preserve">PMF_M8_1_c </t>
    <phoneticPr fontId="1" type="noConversion"/>
  </si>
  <si>
    <t>PMF_M8_2_a</t>
    <phoneticPr fontId="1" type="noConversion"/>
  </si>
  <si>
    <t xml:space="preserve">PMF_M8_2_b </t>
    <phoneticPr fontId="1" type="noConversion"/>
  </si>
  <si>
    <t xml:space="preserve">PMF_F8_1 </t>
    <phoneticPr fontId="1" type="noConversion"/>
  </si>
  <si>
    <t xml:space="preserve">TQITQ_M8 </t>
    <phoneticPr fontId="1" type="noConversion"/>
  </si>
  <si>
    <t>PMF_F8_2</t>
    <phoneticPr fontId="1" type="noConversion"/>
  </si>
  <si>
    <t>PMF_F8_0</t>
    <phoneticPr fontId="1" type="noConversion"/>
  </si>
  <si>
    <t>PMF_F8_1</t>
    <phoneticPr fontId="1" type="noConversion"/>
  </si>
  <si>
    <t>PMF C0 Round 1-3</t>
    <phoneticPr fontId="1" type="noConversion"/>
  </si>
  <si>
    <t xml:space="preserve">PMF_F8_0 </t>
    <phoneticPr fontId="1" type="noConversion"/>
  </si>
  <si>
    <t>PMF_M16_1_a</t>
    <phoneticPr fontId="1" type="noConversion"/>
  </si>
  <si>
    <t xml:space="preserve">PMF_M16_1_b </t>
    <phoneticPr fontId="1" type="noConversion"/>
  </si>
  <si>
    <t>PMF_F16_0</t>
  </si>
  <si>
    <t>PMF_M16_0_c</t>
  </si>
  <si>
    <t>PMF_M32_0_a</t>
  </si>
  <si>
    <t>PMF_M32_0_b</t>
  </si>
  <si>
    <t>PMF_F16_1</t>
  </si>
  <si>
    <t>PMF_M16_1_c</t>
  </si>
  <si>
    <t>PMF_M32_0_c</t>
  </si>
  <si>
    <t>PMF_F32_0</t>
  </si>
  <si>
    <t>PMF_F16_2</t>
  </si>
  <si>
    <t>PMF_M16_2_c</t>
  </si>
  <si>
    <t>PMF_F16_3</t>
  </si>
  <si>
    <t>PMF_M16_3_c</t>
  </si>
  <si>
    <t xml:space="preserve">
</t>
  </si>
  <si>
    <t>块个数</t>
  </si>
  <si>
    <t>单块运行cycle</t>
  </si>
  <si>
    <t>流水延迟</t>
  </si>
  <si>
    <t>CB CR 块</t>
  </si>
  <si>
    <t>模式</t>
  </si>
  <si>
    <t>8x8</t>
  </si>
  <si>
    <t>64*2</t>
  </si>
  <si>
    <t>4x4</t>
  </si>
  <si>
    <t>4x8</t>
  </si>
  <si>
    <t>FME+ MMVPx1</t>
  </si>
  <si>
    <t>16x16</t>
  </si>
  <si>
    <t>16*2</t>
  </si>
  <si>
    <t>8x16</t>
  </si>
  <si>
    <t>FME+ MMVPx2</t>
  </si>
  <si>
    <t>32x32</t>
  </si>
  <si>
    <t>8*2</t>
  </si>
  <si>
    <t>16x32</t>
  </si>
  <si>
    <t>64x64</t>
  </si>
  <si>
    <t>32x64</t>
  </si>
  <si>
    <t>性能需求420：64x64</t>
  </si>
  <si>
    <t>插值性能估计</t>
  </si>
  <si>
    <t>Y</t>
  </si>
  <si>
    <t>模式个数</t>
  </si>
  <si>
    <t>总计</t>
  </si>
  <si>
    <t>y size</t>
  </si>
  <si>
    <t>小计</t>
  </si>
  <si>
    <t>16pixel</t>
  </si>
  <si>
    <t>8x8 1F1M</t>
  </si>
  <si>
    <t>8x8 1F3M</t>
  </si>
  <si>
    <t>16x16 1F2M</t>
  </si>
  <si>
    <t>16x16 2M</t>
  </si>
  <si>
    <t>32x32 1F</t>
  </si>
  <si>
    <t>16x16 1F1M</t>
  </si>
  <si>
    <t>64x64(切成4个32x32)</t>
  </si>
  <si>
    <t>8pixel</t>
  </si>
  <si>
    <t>32x32 2M</t>
  </si>
  <si>
    <t>32x32 1F3M</t>
  </si>
  <si>
    <t>64x64 1F1M(切成4个32x32)</t>
  </si>
  <si>
    <t>U(420)</t>
  </si>
  <si>
    <t>UV</t>
  </si>
  <si>
    <t>uv size</t>
  </si>
  <si>
    <t>总计 （U+V）</t>
  </si>
  <si>
    <t>16x16 1F3M</t>
  </si>
  <si>
    <t>16x16 F</t>
  </si>
  <si>
    <t>4pixel</t>
  </si>
  <si>
    <t>16x16 M</t>
  </si>
  <si>
    <t>32x32(4x32x8)</t>
  </si>
  <si>
    <t>64x64 1F3M(切成4个32x32)</t>
  </si>
  <si>
    <t>块输出到TQITQ 时间</t>
  </si>
  <si>
    <t>单块输出时间</t>
  </si>
  <si>
    <t>TQITQ输入通道</t>
  </si>
  <si>
    <t>Y 耗时</t>
  </si>
  <si>
    <t>UV 耗时</t>
  </si>
  <si>
    <t>MRG总耗时</t>
  </si>
  <si>
    <t>Intra 耗时</t>
  </si>
  <si>
    <t>TQITQ 输入耗时</t>
  </si>
  <si>
    <t>MRG &amp; intra 独立</t>
  </si>
  <si>
    <t>MRG &amp; intra 共享</t>
  </si>
  <si>
    <t>待定</t>
  </si>
  <si>
    <t>4x4 (Y8x8)</t>
    <phoneticPr fontId="1" type="noConversion"/>
  </si>
  <si>
    <t>8x8 (Y16x16)</t>
    <phoneticPr fontId="1" type="noConversion"/>
  </si>
  <si>
    <t>16x16 (Y32x32)</t>
    <phoneticPr fontId="1" type="noConversion"/>
  </si>
  <si>
    <t>32x32 (Y64x64)</t>
    <phoneticPr fontId="1" type="noConversion"/>
  </si>
  <si>
    <t>单块运行cycle(8 pixel)</t>
    <phoneticPr fontId="1" type="noConversion"/>
  </si>
  <si>
    <t>4x4 1F3M</t>
    <phoneticPr fontId="1" type="noConversion"/>
  </si>
  <si>
    <t>8x8 2M</t>
    <phoneticPr fontId="1" type="noConversion"/>
  </si>
  <si>
    <t>8x8 1F1M</t>
    <phoneticPr fontId="1" type="noConversion"/>
  </si>
  <si>
    <t>16x16 1F3M</t>
    <phoneticPr fontId="1" type="noConversion"/>
  </si>
  <si>
    <t>32x32 1F1M(切成4个32x32)</t>
    <phoneticPr fontId="1" type="noConversion"/>
  </si>
  <si>
    <t>总计 （U420）</t>
    <phoneticPr fontId="1" type="noConversion"/>
  </si>
  <si>
    <t>4x4 input cc</t>
  </si>
  <si>
    <t>4x4 work cc</t>
  </si>
  <si>
    <t>4x4 output cc</t>
  </si>
  <si>
    <t>8x8 input cc</t>
  </si>
  <si>
    <t>8x8 work cc</t>
  </si>
  <si>
    <t>8x8 output cc</t>
  </si>
  <si>
    <t>PMF_M4_0_a</t>
  </si>
  <si>
    <t xml:space="preserve">PMF_M4_0_b </t>
  </si>
  <si>
    <t xml:space="preserve">PMF_M4_0_c </t>
  </si>
  <si>
    <t xml:space="preserve">PMF_M4_1_c </t>
  </si>
  <si>
    <t xml:space="preserve">TQITQ_M4 </t>
  </si>
  <si>
    <t xml:space="preserve">PMF_M4_2_c </t>
  </si>
  <si>
    <t xml:space="preserve">PMF_M4_3_c </t>
  </si>
  <si>
    <t>PMF_M4_1_a</t>
  </si>
  <si>
    <t xml:space="preserve">PMF_M4_1_b </t>
  </si>
  <si>
    <t>PMF_M4_2_a</t>
  </si>
  <si>
    <t xml:space="preserve">PMF_M4_2_b </t>
  </si>
  <si>
    <t>PMF_M4_3_a</t>
  </si>
  <si>
    <t xml:space="preserve">PMF_M4_3_b </t>
  </si>
  <si>
    <t>PMF_F4_0</t>
  </si>
  <si>
    <t xml:space="preserve">TQITQ_F4 </t>
  </si>
  <si>
    <t>PMF_F4_1</t>
  </si>
  <si>
    <t>PMF_F4_2</t>
  </si>
  <si>
    <t xml:space="preserve">PMF_F4_3 </t>
  </si>
  <si>
    <t xml:space="preserve">INTER_PK4 </t>
  </si>
  <si>
    <t xml:space="preserve">SEL_PK4 </t>
  </si>
  <si>
    <t>PMF_M8_0_a</t>
    <phoneticPr fontId="1" type="noConversion"/>
  </si>
  <si>
    <t xml:space="preserve">PMF_M8_0_b </t>
    <phoneticPr fontId="1" type="noConversion"/>
  </si>
  <si>
    <t xml:space="preserve">Yc0 round0 </t>
    <phoneticPr fontId="1" type="noConversion"/>
  </si>
  <si>
    <t>Yc0 round0 output begin</t>
    <phoneticPr fontId="1" type="noConversion"/>
  </si>
  <si>
    <t>Yc0 round0 output end</t>
    <phoneticPr fontId="1" type="noConversion"/>
  </si>
  <si>
    <t xml:space="preserve">UVc0 round0 </t>
    <phoneticPr fontId="1" type="noConversion"/>
  </si>
  <si>
    <t>UVc0 round0 output begin</t>
    <phoneticPr fontId="1" type="noConversion"/>
  </si>
  <si>
    <t>UVc0 round0 output end</t>
    <phoneticPr fontId="1" type="noConversion"/>
  </si>
  <si>
    <t xml:space="preserve">Yc1 round0 </t>
    <phoneticPr fontId="1" type="noConversion"/>
  </si>
  <si>
    <t>Yc1 round0 output begin</t>
    <phoneticPr fontId="1" type="noConversion"/>
  </si>
  <si>
    <t>Yc1 round0 output end</t>
    <phoneticPr fontId="1" type="noConversion"/>
  </si>
  <si>
    <t xml:space="preserve">UVc1 round0 </t>
    <phoneticPr fontId="1" type="noConversion"/>
  </si>
  <si>
    <t>UVc1 round0 output begin</t>
    <phoneticPr fontId="1" type="noConversion"/>
  </si>
  <si>
    <t>UVc1 round0 output end</t>
    <phoneticPr fontId="1" type="noConversion"/>
  </si>
  <si>
    <t>PMF_F8_0</t>
  </si>
  <si>
    <t>PMF_M8_0_c</t>
  </si>
  <si>
    <t>PMF_M16_0_b</t>
  </si>
  <si>
    <t>PMF_F8_1</t>
  </si>
  <si>
    <t>PMF_M8_1_c</t>
  </si>
  <si>
    <t>PMF_F8_2</t>
  </si>
  <si>
    <t>PMF_M8_2_c</t>
  </si>
  <si>
    <t>PMF_F8_3</t>
  </si>
  <si>
    <t>PMF_M8_3_c</t>
  </si>
  <si>
    <t>PMF UV c1 round0-3</t>
    <phoneticPr fontId="1" type="noConversion"/>
  </si>
  <si>
    <t>PMF UV c0 round0</t>
    <phoneticPr fontId="1" type="noConversion"/>
  </si>
  <si>
    <t>PMF c0 round0</t>
    <phoneticPr fontId="1" type="noConversion"/>
  </si>
  <si>
    <t>PMF c1 round0-3</t>
    <phoneticPr fontId="1" type="noConversion"/>
  </si>
  <si>
    <t>PMF_64M32_0</t>
    <phoneticPr fontId="1" type="noConversion"/>
  </si>
  <si>
    <t>PMF_64M32_1</t>
    <phoneticPr fontId="1" type="noConversion"/>
  </si>
  <si>
    <t>PMF_32M16_0</t>
    <phoneticPr fontId="1" type="noConversion"/>
  </si>
  <si>
    <t>PMF_32M16_1</t>
    <phoneticPr fontId="1" type="noConversion"/>
  </si>
  <si>
    <t>通道4</t>
    <phoneticPr fontId="1" type="noConversion"/>
  </si>
  <si>
    <t>y8x8 split</t>
    <phoneticPr fontId="1" type="noConversion"/>
  </si>
  <si>
    <t>通道8</t>
    <phoneticPr fontId="1" type="noConversion"/>
  </si>
  <si>
    <t>Y8x8</t>
    <phoneticPr fontId="1" type="noConversion"/>
  </si>
  <si>
    <t>通道16</t>
    <phoneticPr fontId="1" type="noConversion"/>
  </si>
  <si>
    <t>PMF_2_TQITQ 占用时间</t>
    <phoneticPr fontId="1" type="noConversion"/>
  </si>
  <si>
    <t>通道32</t>
    <phoneticPr fontId="1" type="noConversion"/>
  </si>
  <si>
    <t>Y32x32</t>
    <phoneticPr fontId="1" type="noConversion"/>
  </si>
  <si>
    <t>Y64x64(切成4个32x32)</t>
    <phoneticPr fontId="1" type="noConversion"/>
  </si>
  <si>
    <t>Y16x16</t>
    <phoneticPr fontId="1" type="noConversion"/>
  </si>
  <si>
    <t xml:space="preserve">UV16x16 </t>
    <phoneticPr fontId="1" type="noConversion"/>
  </si>
  <si>
    <t xml:space="preserve">UV8x8 </t>
    <phoneticPr fontId="1" type="noConversion"/>
  </si>
  <si>
    <t>uv4x4</t>
    <phoneticPr fontId="1" type="noConversion"/>
  </si>
  <si>
    <t>UV32x32（切成4个16x16)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</si>
</sst>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0"/>
      <color rgb="FF000000"/>
      <name val="等线"/>
      <charset val="134"/>
      <scheme val="minor"/>
    </font>
    <font>
      <sz val="10"/>
      <color theme="1"/>
      <name val="等线"/>
      <charset val="134"/>
      <scheme val="minor"/>
    </font>
    <font>
      <b/>
      <sz val="10"/>
      <color theme="1"/>
      <name val="等线"/>
      <charset val="134"/>
      <scheme val="minor"/>
    </font>
    <font>
      <sz val="10"/>
      <color rgb="FFF54A45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rgb="FF1F2329"/>
      <name val="等线"/>
      <charset val="134"/>
      <scheme val="minor"/>
    </font>
    <font>
      <sz val="10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/>
      <right/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DEE0E3"/>
      </top>
      <bottom style="thin">
        <color rgb="FF1F2329"/>
      </bottom>
      <diagonal/>
    </border>
    <border>
      <left style="thin">
        <color rgb="FF1F2329"/>
      </left>
      <right style="thin">
        <color rgb="FFDEE0E3"/>
      </right>
      <top style="thin">
        <color rgb="FF1F2329"/>
      </top>
      <bottom style="thin">
        <color rgb="FF1F2329"/>
      </bottom>
      <diagonal/>
    </border>
    <border>
      <left style="thin">
        <color rgb="FFDEE0E3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DEE0E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/>
      <diagonal/>
    </border>
    <border>
      <left style="thin">
        <color rgb="FFDEE0E3"/>
      </left>
      <right style="thin">
        <color rgb="FFDEE0E3"/>
      </right>
      <top/>
      <bottom/>
      <diagonal/>
    </border>
  </borders>
  <cellStyleXfs count="1">
    <xf numFmtId="0" fontId="0" fillId="0" borderId="0">
      <alignment vertical="center"/>
    </xf>
  </cellStyleXfs>
  <cellXfs count="50">
    <xf numFmtId="0" fontId="0" fillId="0" borderId="0" xfId="0">
      <alignment vertical="center"/>
    </xf>
    <xf numFmtId="0" fontId="0" fillId="0" borderId="0" xfId="0" applyBorder="1">
      <alignment vertical="center"/>
    </xf>
    <xf numFmtId="0" fontId="2" fillId="0" borderId="1" xfId="0" applyFont="1" applyBorder="1" applyAlignment="1">
      <alignment horizontal="left" vertical="top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2" fillId="0" borderId="6" xfId="0" applyFont="1" applyBorder="1" applyAlignment="1">
      <alignment horizontal="left" vertical="top"/>
    </xf>
    <xf numFmtId="0" fontId="3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top"/>
    </xf>
    <xf numFmtId="0" fontId="3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top"/>
    </xf>
    <xf numFmtId="0" fontId="6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vertical="top"/>
    </xf>
    <xf numFmtId="0" fontId="7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2" fillId="0" borderId="12" xfId="0" applyFont="1" applyBorder="1" applyAlignment="1">
      <alignment horizontal="left" vertical="top"/>
    </xf>
    <xf numFmtId="0" fontId="3" fillId="0" borderId="1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0" fontId="2" fillId="0" borderId="2" xfId="0" applyFont="1" applyBorder="1" applyAlignment="1">
      <alignment vertical="top"/>
    </xf>
    <xf numFmtId="0" fontId="5" fillId="0" borderId="2" xfId="0" applyFont="1" applyBorder="1">
      <alignment vertical="center"/>
    </xf>
    <xf numFmtId="0" fontId="4" fillId="0" borderId="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8" fillId="0" borderId="2" xfId="0" applyFont="1" applyBorder="1" applyAlignment="1">
      <alignment vertical="top"/>
    </xf>
    <xf numFmtId="0" fontId="8" fillId="0" borderId="2" xfId="0" applyFont="1" applyBorder="1" applyAlignment="1">
      <alignment horizontal="left" vertical="top"/>
    </xf>
    <xf numFmtId="0" fontId="8" fillId="0" borderId="6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center"/>
    </xf>
    <xf numFmtId="0" fontId="3" fillId="0" borderId="14" xfId="0" applyFont="1" applyBorder="1">
      <alignment vertical="center"/>
    </xf>
    <xf numFmtId="0" fontId="3" fillId="0" borderId="13" xfId="0" applyFont="1" applyBorder="1" applyAlignment="1">
      <alignment horizontal="left" vertical="center"/>
    </xf>
    <xf numFmtId="0" fontId="8" fillId="0" borderId="11" xfId="0" applyFont="1" applyBorder="1" applyAlignment="1">
      <alignment horizontal="left" vertical="top"/>
    </xf>
    <xf numFmtId="0" fontId="2" fillId="0" borderId="11" xfId="0" applyFont="1" applyBorder="1" applyAlignment="1">
      <alignment horizontal="left" vertical="top"/>
    </xf>
    <xf numFmtId="0" fontId="3" fillId="0" borderId="11" xfId="0" applyFont="1" applyBorder="1" applyAlignment="1">
      <alignment horizontal="left" vertical="center"/>
    </xf>
    <xf numFmtId="0" fontId="8" fillId="0" borderId="13" xfId="0" applyFont="1" applyBorder="1" applyAlignment="1">
      <alignment horizontal="left" vertical="top"/>
    </xf>
    <xf numFmtId="0" fontId="2" fillId="0" borderId="13" xfId="0" applyFont="1" applyBorder="1" applyAlignment="1">
      <alignment horizontal="left" vertical="top"/>
    </xf>
    <xf numFmtId="0" fontId="10" fillId="0" borderId="15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9" fillId="0" borderId="13" xfId="0" applyFont="1" applyBorder="1" applyAlignment="1">
      <alignment horizontal="left" vertical="center"/>
    </xf>
    <xf numFmtId="0" fontId="5" fillId="0" borderId="13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39466-5853-41C3-ACC8-1F2734C6766C}">
  <dimension ref="A1:U204"/>
  <sheetViews>
    <sheetView tabSelected="1" topLeftCell="A31" zoomScale="130" zoomScaleNormal="130" workbookViewId="0">
      <selection activeCell="H56" sqref="H56"/>
    </sheetView>
  </sheetViews>
  <sheetFormatPr defaultRowHeight="14.25" x14ac:dyDescent="0.2"/>
  <cols>
    <col min="1" max="1" width="21.5" customWidth="1"/>
  </cols>
  <sheetData>
    <row r="1" spans="1:21" x14ac:dyDescent="0.2">
      <c r="A1" s="2" t="s">
        <v>71</v>
      </c>
      <c r="B1" s="2" t="s">
        <v>72</v>
      </c>
      <c r="C1" s="2" t="s">
        <v>73</v>
      </c>
      <c r="D1" s="2" t="s">
        <v>74</v>
      </c>
      <c r="E1" s="2" t="s">
        <v>75</v>
      </c>
      <c r="F1" s="2">
        <v>420</v>
      </c>
      <c r="G1" s="2">
        <v>422</v>
      </c>
      <c r="H1" s="2" t="s">
        <v>76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pans="1:21" x14ac:dyDescent="0.2">
      <c r="A2" s="2" t="s">
        <v>77</v>
      </c>
      <c r="B2" s="2">
        <v>64</v>
      </c>
      <c r="C2" s="2">
        <v>8</v>
      </c>
      <c r="D2" s="2">
        <v>6</v>
      </c>
      <c r="E2" s="2" t="s">
        <v>78</v>
      </c>
      <c r="F2" s="2" t="s">
        <v>79</v>
      </c>
      <c r="G2" s="2" t="s">
        <v>80</v>
      </c>
      <c r="H2" s="2" t="s">
        <v>81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">
      <c r="A3" s="2" t="s">
        <v>82</v>
      </c>
      <c r="B3" s="2">
        <v>16</v>
      </c>
      <c r="C3" s="2">
        <v>24</v>
      </c>
      <c r="D3" s="2">
        <v>6</v>
      </c>
      <c r="E3" s="2" t="s">
        <v>83</v>
      </c>
      <c r="F3" s="2" t="s">
        <v>77</v>
      </c>
      <c r="G3" s="2" t="s">
        <v>84</v>
      </c>
      <c r="H3" s="2" t="s">
        <v>85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x14ac:dyDescent="0.2">
      <c r="A4" s="2" t="s">
        <v>86</v>
      </c>
      <c r="B4" s="2">
        <v>4</v>
      </c>
      <c r="C4" s="2">
        <v>78</v>
      </c>
      <c r="D4" s="2">
        <v>6</v>
      </c>
      <c r="E4" s="2" t="s">
        <v>87</v>
      </c>
      <c r="F4" s="2" t="s">
        <v>82</v>
      </c>
      <c r="G4" s="2" t="s">
        <v>88</v>
      </c>
      <c r="H4" s="2" t="s">
        <v>85</v>
      </c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spans="1:21" x14ac:dyDescent="0.2">
      <c r="A5" s="2" t="s">
        <v>89</v>
      </c>
      <c r="B5" s="2">
        <v>1</v>
      </c>
      <c r="C5" s="2">
        <v>284</v>
      </c>
      <c r="D5" s="2">
        <v>6</v>
      </c>
      <c r="E5" s="2">
        <v>2</v>
      </c>
      <c r="F5" s="2" t="s">
        <v>86</v>
      </c>
      <c r="G5" s="2" t="s">
        <v>90</v>
      </c>
      <c r="H5" s="2" t="s">
        <v>81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">
      <c r="A7" s="4" t="s">
        <v>91</v>
      </c>
      <c r="B7" s="4">
        <v>3200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3"/>
      <c r="O7" s="3"/>
      <c r="P7" s="3"/>
      <c r="Q7" s="3"/>
      <c r="R7" s="3"/>
      <c r="S7" s="3"/>
      <c r="T7" s="3"/>
      <c r="U7" s="3"/>
    </row>
    <row r="8" spans="1:21" x14ac:dyDescent="0.2">
      <c r="A8" s="21" t="s">
        <v>92</v>
      </c>
      <c r="B8" s="22"/>
      <c r="C8" s="22"/>
      <c r="D8" s="22"/>
      <c r="E8" s="22"/>
      <c r="F8" s="22"/>
      <c r="G8" s="22"/>
      <c r="H8" s="22"/>
      <c r="I8" s="22"/>
      <c r="J8" s="22"/>
      <c r="K8" s="23"/>
      <c r="L8" s="4"/>
      <c r="M8" s="4"/>
      <c r="N8" s="3"/>
      <c r="O8" s="3"/>
      <c r="P8" s="3"/>
      <c r="Q8" s="3"/>
      <c r="R8" s="3"/>
      <c r="S8" s="3"/>
      <c r="T8" s="3"/>
      <c r="U8" s="3"/>
    </row>
    <row r="9" spans="1:21" x14ac:dyDescent="0.2">
      <c r="A9" s="5" t="s">
        <v>93</v>
      </c>
      <c r="B9" s="6" t="s">
        <v>72</v>
      </c>
      <c r="C9" s="6" t="s">
        <v>73</v>
      </c>
      <c r="D9" s="5" t="s">
        <v>94</v>
      </c>
      <c r="E9" s="5" t="s">
        <v>95</v>
      </c>
      <c r="F9" s="4"/>
      <c r="G9" s="7" t="s">
        <v>93</v>
      </c>
      <c r="H9" s="4" t="s">
        <v>96</v>
      </c>
      <c r="I9" s="8" t="s">
        <v>72</v>
      </c>
      <c r="J9" s="8" t="s">
        <v>73</v>
      </c>
      <c r="K9" s="7" t="s">
        <v>94</v>
      </c>
      <c r="L9" s="7" t="s">
        <v>97</v>
      </c>
      <c r="M9" s="7" t="s">
        <v>95</v>
      </c>
      <c r="N9" s="3"/>
      <c r="O9" s="9" t="s">
        <v>93</v>
      </c>
      <c r="P9" s="7" t="s">
        <v>96</v>
      </c>
      <c r="Q9" s="10" t="s">
        <v>72</v>
      </c>
      <c r="R9" s="8" t="s">
        <v>73</v>
      </c>
      <c r="S9" s="7" t="s">
        <v>94</v>
      </c>
      <c r="T9" s="7" t="s">
        <v>97</v>
      </c>
      <c r="U9" s="7" t="s">
        <v>95</v>
      </c>
    </row>
    <row r="10" spans="1:21" x14ac:dyDescent="0.2">
      <c r="A10" s="8" t="s">
        <v>77</v>
      </c>
      <c r="B10" s="8">
        <v>64</v>
      </c>
      <c r="C10" s="8">
        <v>8</v>
      </c>
      <c r="D10" s="7">
        <v>2</v>
      </c>
      <c r="E10" s="7">
        <f>B10*C10*D10</f>
        <v>1024</v>
      </c>
      <c r="F10" s="4"/>
      <c r="G10" s="24" t="s">
        <v>98</v>
      </c>
      <c r="H10" s="8" t="s">
        <v>99</v>
      </c>
      <c r="I10" s="8">
        <v>64</v>
      </c>
      <c r="J10" s="8">
        <v>8</v>
      </c>
      <c r="K10" s="7">
        <v>2</v>
      </c>
      <c r="L10" s="7">
        <v>1024</v>
      </c>
      <c r="M10" s="27">
        <v>2440</v>
      </c>
      <c r="N10" s="3"/>
      <c r="O10" s="24" t="s">
        <v>98</v>
      </c>
      <c r="P10" s="6" t="s">
        <v>100</v>
      </c>
      <c r="Q10" s="8">
        <v>64</v>
      </c>
      <c r="R10" s="8">
        <v>8</v>
      </c>
      <c r="S10" s="7">
        <v>4</v>
      </c>
      <c r="T10" s="7">
        <f>Q10*R10*S10</f>
        <v>2048</v>
      </c>
      <c r="U10" s="27">
        <v>2784</v>
      </c>
    </row>
    <row r="11" spans="1:21" x14ac:dyDescent="0.2">
      <c r="A11" s="8" t="s">
        <v>82</v>
      </c>
      <c r="B11" s="8">
        <v>16</v>
      </c>
      <c r="C11" s="8">
        <v>23</v>
      </c>
      <c r="D11" s="7">
        <v>3</v>
      </c>
      <c r="E11" s="7">
        <f t="shared" ref="E11:E13" si="0">B11*C11*D11</f>
        <v>1104</v>
      </c>
      <c r="F11" s="4"/>
      <c r="G11" s="25"/>
      <c r="H11" s="8" t="s">
        <v>101</v>
      </c>
      <c r="I11" s="8">
        <v>16</v>
      </c>
      <c r="J11" s="8">
        <v>23</v>
      </c>
      <c r="K11" s="7">
        <v>3</v>
      </c>
      <c r="L11" s="7">
        <v>1104</v>
      </c>
      <c r="M11" s="28"/>
      <c r="N11" s="3"/>
      <c r="O11" s="26"/>
      <c r="P11" s="8" t="s">
        <v>102</v>
      </c>
      <c r="Q11" s="8">
        <v>16</v>
      </c>
      <c r="R11" s="8">
        <v>23</v>
      </c>
      <c r="S11" s="7">
        <v>2</v>
      </c>
      <c r="T11" s="7">
        <f t="shared" ref="T11:T14" si="1">Q11*R11*S11</f>
        <v>736</v>
      </c>
      <c r="U11" s="29"/>
    </row>
    <row r="12" spans="1:21" x14ac:dyDescent="0.2">
      <c r="A12" s="8" t="s">
        <v>86</v>
      </c>
      <c r="B12" s="8">
        <v>4</v>
      </c>
      <c r="C12" s="8">
        <v>78</v>
      </c>
      <c r="D12" s="7">
        <v>3</v>
      </c>
      <c r="E12" s="7">
        <f t="shared" si="0"/>
        <v>936</v>
      </c>
      <c r="F12" s="4"/>
      <c r="G12" s="26"/>
      <c r="H12" s="8" t="s">
        <v>103</v>
      </c>
      <c r="I12" s="7">
        <v>4</v>
      </c>
      <c r="J12" s="8">
        <v>78</v>
      </c>
      <c r="K12" s="11">
        <v>1</v>
      </c>
      <c r="L12" s="7">
        <v>312</v>
      </c>
      <c r="M12" s="29"/>
      <c r="N12" s="3"/>
      <c r="O12" s="30" t="s">
        <v>98</v>
      </c>
      <c r="P12" s="8" t="s">
        <v>104</v>
      </c>
      <c r="Q12" s="8">
        <v>16</v>
      </c>
      <c r="R12" s="8">
        <v>23</v>
      </c>
      <c r="S12" s="7">
        <v>2</v>
      </c>
      <c r="T12" s="7">
        <f t="shared" si="1"/>
        <v>736</v>
      </c>
      <c r="U12" s="27">
        <v>2608</v>
      </c>
    </row>
    <row r="13" spans="1:21" x14ac:dyDescent="0.2">
      <c r="A13" s="8" t="s">
        <v>105</v>
      </c>
      <c r="B13" s="8">
        <v>4</v>
      </c>
      <c r="C13" s="8">
        <v>78</v>
      </c>
      <c r="D13" s="7">
        <v>2</v>
      </c>
      <c r="E13" s="7">
        <f t="shared" si="0"/>
        <v>624</v>
      </c>
      <c r="F13" s="4"/>
      <c r="G13" s="30" t="s">
        <v>106</v>
      </c>
      <c r="H13" s="8" t="s">
        <v>107</v>
      </c>
      <c r="I13" s="8">
        <v>4</v>
      </c>
      <c r="J13" s="8">
        <v>156</v>
      </c>
      <c r="K13" s="11">
        <v>2</v>
      </c>
      <c r="L13" s="7">
        <v>1248</v>
      </c>
      <c r="M13" s="27">
        <v>2496</v>
      </c>
      <c r="N13" s="3"/>
      <c r="O13" s="31"/>
      <c r="P13" s="8" t="s">
        <v>108</v>
      </c>
      <c r="Q13" s="8">
        <v>4</v>
      </c>
      <c r="R13" s="8">
        <v>78</v>
      </c>
      <c r="S13" s="11">
        <v>4</v>
      </c>
      <c r="T13" s="7">
        <f t="shared" si="1"/>
        <v>1248</v>
      </c>
      <c r="U13" s="28"/>
    </row>
    <row r="14" spans="1:21" x14ac:dyDescent="0.2">
      <c r="A14" s="7"/>
      <c r="B14" s="7"/>
      <c r="C14" s="7"/>
      <c r="D14" s="7"/>
      <c r="E14" s="12">
        <v>3688</v>
      </c>
      <c r="F14" s="4"/>
      <c r="G14" s="32"/>
      <c r="H14" s="8" t="s">
        <v>109</v>
      </c>
      <c r="I14" s="8">
        <v>4</v>
      </c>
      <c r="J14" s="8">
        <v>156</v>
      </c>
      <c r="K14" s="7">
        <v>2</v>
      </c>
      <c r="L14" s="7">
        <v>1248</v>
      </c>
      <c r="M14" s="29"/>
      <c r="N14" s="3"/>
      <c r="O14" s="32"/>
      <c r="P14" s="8" t="s">
        <v>109</v>
      </c>
      <c r="Q14" s="8">
        <v>4</v>
      </c>
      <c r="R14" s="8">
        <v>78</v>
      </c>
      <c r="S14" s="7">
        <v>2</v>
      </c>
      <c r="T14" s="7">
        <f t="shared" si="1"/>
        <v>624</v>
      </c>
      <c r="U14" s="29"/>
    </row>
    <row r="15" spans="1:21" x14ac:dyDescent="0.2">
      <c r="A15" s="3"/>
      <c r="B15" s="13"/>
      <c r="C15" s="1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1" x14ac:dyDescent="0.2">
      <c r="A16" s="18" t="s">
        <v>110</v>
      </c>
      <c r="B16" s="8" t="s">
        <v>72</v>
      </c>
      <c r="C16" s="34" t="s">
        <v>135</v>
      </c>
      <c r="D16" s="7" t="s">
        <v>94</v>
      </c>
      <c r="E16" s="7"/>
      <c r="F16" s="4"/>
      <c r="G16" s="9" t="s">
        <v>111</v>
      </c>
      <c r="H16" s="7" t="s">
        <v>112</v>
      </c>
      <c r="I16" s="10" t="s">
        <v>72</v>
      </c>
      <c r="J16" s="8" t="s">
        <v>73</v>
      </c>
      <c r="K16" s="7" t="s">
        <v>94</v>
      </c>
      <c r="L16" s="7" t="s">
        <v>97</v>
      </c>
      <c r="M16" s="7" t="s">
        <v>113</v>
      </c>
      <c r="N16" s="3"/>
      <c r="O16" s="9" t="s">
        <v>93</v>
      </c>
      <c r="P16" s="7" t="s">
        <v>96</v>
      </c>
      <c r="Q16" s="10" t="s">
        <v>72</v>
      </c>
      <c r="R16" s="8" t="s">
        <v>73</v>
      </c>
      <c r="S16" s="7" t="s">
        <v>94</v>
      </c>
      <c r="T16" s="7" t="s">
        <v>97</v>
      </c>
      <c r="U16" s="7" t="s">
        <v>95</v>
      </c>
    </row>
    <row r="17" spans="1:21" x14ac:dyDescent="0.2">
      <c r="A17" s="33" t="s">
        <v>131</v>
      </c>
      <c r="B17" s="8">
        <v>64</v>
      </c>
      <c r="C17" s="14">
        <v>4</v>
      </c>
      <c r="D17" s="7">
        <v>4</v>
      </c>
      <c r="E17" s="7">
        <f>B17*C17*D17</f>
        <v>1024</v>
      </c>
      <c r="F17" s="4"/>
      <c r="G17" s="24" t="s">
        <v>106</v>
      </c>
      <c r="H17" s="6" t="s">
        <v>79</v>
      </c>
      <c r="I17" s="8">
        <v>64</v>
      </c>
      <c r="J17" s="14">
        <v>4</v>
      </c>
      <c r="K17" s="7">
        <v>2</v>
      </c>
      <c r="L17" s="7">
        <v>512</v>
      </c>
      <c r="M17" s="27">
        <v>2384</v>
      </c>
      <c r="N17" s="3"/>
      <c r="O17" s="24" t="s">
        <v>98</v>
      </c>
      <c r="P17" s="6" t="s">
        <v>99</v>
      </c>
      <c r="Q17" s="8">
        <v>64</v>
      </c>
      <c r="R17" s="8">
        <v>8</v>
      </c>
      <c r="S17" s="7">
        <v>2</v>
      </c>
      <c r="T17" s="7">
        <f>Q17*R17*S17</f>
        <v>1024</v>
      </c>
      <c r="U17" s="27">
        <v>2496</v>
      </c>
    </row>
    <row r="18" spans="1:21" x14ac:dyDescent="0.2">
      <c r="A18" s="33" t="s">
        <v>132</v>
      </c>
      <c r="B18" s="8">
        <v>16</v>
      </c>
      <c r="C18" s="7">
        <v>11</v>
      </c>
      <c r="D18" s="7">
        <v>4</v>
      </c>
      <c r="E18" s="7">
        <f t="shared" ref="E18:E20" si="2">B18*C18*D18</f>
        <v>704</v>
      </c>
      <c r="F18" s="4"/>
      <c r="G18" s="25"/>
      <c r="H18" s="8" t="s">
        <v>77</v>
      </c>
      <c r="I18" s="8">
        <v>16</v>
      </c>
      <c r="J18" s="7">
        <v>11</v>
      </c>
      <c r="K18" s="7">
        <v>3</v>
      </c>
      <c r="L18" s="7">
        <v>528</v>
      </c>
      <c r="M18" s="28"/>
      <c r="N18" s="3"/>
      <c r="O18" s="25"/>
      <c r="P18" s="8" t="s">
        <v>114</v>
      </c>
      <c r="Q18" s="8">
        <v>16</v>
      </c>
      <c r="R18" s="8">
        <v>23</v>
      </c>
      <c r="S18" s="7">
        <v>4</v>
      </c>
      <c r="T18" s="7">
        <f t="shared" ref="T18:T21" si="3">Q18*R18*S18</f>
        <v>1472</v>
      </c>
      <c r="U18" s="28"/>
    </row>
    <row r="19" spans="1:21" x14ac:dyDescent="0.2">
      <c r="A19" s="33" t="s">
        <v>133</v>
      </c>
      <c r="B19" s="8">
        <v>4</v>
      </c>
      <c r="C19" s="7">
        <v>38</v>
      </c>
      <c r="D19" s="7">
        <v>4</v>
      </c>
      <c r="E19" s="7">
        <f t="shared" si="2"/>
        <v>608</v>
      </c>
      <c r="F19" s="4"/>
      <c r="G19" s="26"/>
      <c r="H19" s="4" t="s">
        <v>115</v>
      </c>
      <c r="I19" s="8">
        <v>4</v>
      </c>
      <c r="J19" s="7">
        <v>38</v>
      </c>
      <c r="K19" s="15">
        <v>1</v>
      </c>
      <c r="L19" s="7">
        <v>152</v>
      </c>
      <c r="M19" s="29"/>
      <c r="N19" s="3"/>
      <c r="O19" s="26"/>
      <c r="P19" s="8"/>
      <c r="Q19" s="7"/>
      <c r="R19" s="8"/>
      <c r="S19" s="11"/>
      <c r="T19" s="7">
        <f t="shared" si="3"/>
        <v>0</v>
      </c>
      <c r="U19" s="29"/>
    </row>
    <row r="20" spans="1:21" x14ac:dyDescent="0.2">
      <c r="A20" s="33" t="s">
        <v>134</v>
      </c>
      <c r="B20" s="8">
        <v>1</v>
      </c>
      <c r="C20" s="7">
        <v>140</v>
      </c>
      <c r="D20" s="7">
        <v>2</v>
      </c>
      <c r="E20" s="7">
        <f t="shared" si="2"/>
        <v>280</v>
      </c>
      <c r="F20" s="4"/>
      <c r="G20" s="24" t="s">
        <v>116</v>
      </c>
      <c r="H20" s="8" t="s">
        <v>117</v>
      </c>
      <c r="I20" s="8">
        <v>4</v>
      </c>
      <c r="J20" s="7">
        <v>76</v>
      </c>
      <c r="K20" s="15">
        <v>2</v>
      </c>
      <c r="L20" s="7">
        <v>608</v>
      </c>
      <c r="M20" s="27">
        <v>2336</v>
      </c>
      <c r="N20" s="3"/>
      <c r="O20" s="30" t="s">
        <v>98</v>
      </c>
      <c r="P20" s="8" t="s">
        <v>108</v>
      </c>
      <c r="Q20" s="8">
        <v>4</v>
      </c>
      <c r="R20" s="8">
        <v>78</v>
      </c>
      <c r="S20" s="11">
        <v>4</v>
      </c>
      <c r="T20" s="7">
        <f t="shared" si="3"/>
        <v>1248</v>
      </c>
      <c r="U20" s="27">
        <v>2496</v>
      </c>
    </row>
    <row r="21" spans="1:21" x14ac:dyDescent="0.2">
      <c r="A21" s="7"/>
      <c r="B21" s="7"/>
      <c r="C21" s="7"/>
      <c r="D21" s="7"/>
      <c r="E21" s="12">
        <v>1800</v>
      </c>
      <c r="F21" s="4"/>
      <c r="G21" s="26"/>
      <c r="H21" s="8" t="s">
        <v>118</v>
      </c>
      <c r="I21" s="8">
        <v>1</v>
      </c>
      <c r="J21" s="7">
        <v>280</v>
      </c>
      <c r="K21" s="7">
        <v>2</v>
      </c>
      <c r="L21" s="7">
        <v>560</v>
      </c>
      <c r="M21" s="29"/>
      <c r="N21" s="3"/>
      <c r="O21" s="32"/>
      <c r="P21" s="8" t="s">
        <v>119</v>
      </c>
      <c r="Q21" s="8">
        <v>4</v>
      </c>
      <c r="R21" s="8">
        <v>78</v>
      </c>
      <c r="S21" s="7">
        <v>4</v>
      </c>
      <c r="T21" s="7">
        <f t="shared" si="3"/>
        <v>1248</v>
      </c>
      <c r="U21" s="29"/>
    </row>
    <row r="22" spans="1:21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</row>
    <row r="23" spans="1:21" x14ac:dyDescent="0.2">
      <c r="A23" s="21" t="s">
        <v>120</v>
      </c>
      <c r="B23" s="22"/>
      <c r="C23" s="22"/>
      <c r="D23" s="22"/>
      <c r="E23" s="22"/>
      <c r="F23" s="22"/>
      <c r="G23" s="22"/>
      <c r="H23" s="22"/>
      <c r="I23" s="22"/>
      <c r="J23" s="22"/>
      <c r="K23" s="23"/>
      <c r="L23" s="4"/>
      <c r="M23" s="4"/>
      <c r="N23" s="3"/>
      <c r="O23" s="3"/>
      <c r="P23" s="3"/>
      <c r="Q23" s="3"/>
      <c r="R23" s="3"/>
      <c r="S23" s="3"/>
      <c r="T23" s="3"/>
      <c r="U23" s="3"/>
    </row>
    <row r="24" spans="1:21" x14ac:dyDescent="0.2">
      <c r="A24" s="7" t="s">
        <v>93</v>
      </c>
      <c r="B24" s="8" t="s">
        <v>72</v>
      </c>
      <c r="C24" s="8" t="s">
        <v>121</v>
      </c>
      <c r="D24" s="7" t="s">
        <v>94</v>
      </c>
      <c r="E24" s="7" t="s">
        <v>95</v>
      </c>
      <c r="F24" s="4"/>
      <c r="G24" s="7" t="s">
        <v>122</v>
      </c>
      <c r="H24" s="7" t="s">
        <v>123</v>
      </c>
      <c r="I24" s="7" t="s">
        <v>124</v>
      </c>
      <c r="J24" s="7" t="s">
        <v>125</v>
      </c>
      <c r="K24" s="7" t="s">
        <v>126</v>
      </c>
      <c r="L24" s="7" t="s">
        <v>127</v>
      </c>
      <c r="M24" s="7"/>
      <c r="N24" s="3"/>
      <c r="O24" s="9" t="s">
        <v>111</v>
      </c>
      <c r="P24" s="7" t="s">
        <v>112</v>
      </c>
      <c r="Q24" s="10" t="s">
        <v>72</v>
      </c>
      <c r="R24" s="8" t="s">
        <v>73</v>
      </c>
      <c r="S24" s="7" t="s">
        <v>94</v>
      </c>
      <c r="T24" s="7" t="s">
        <v>97</v>
      </c>
      <c r="U24" s="36" t="s">
        <v>141</v>
      </c>
    </row>
    <row r="25" spans="1:21" x14ac:dyDescent="0.2">
      <c r="A25" s="8" t="s">
        <v>77</v>
      </c>
      <c r="B25" s="8">
        <v>64</v>
      </c>
      <c r="C25" s="8">
        <v>4</v>
      </c>
      <c r="D25" s="7">
        <v>2</v>
      </c>
      <c r="E25" s="7">
        <f>B25*C25*D25</f>
        <v>512</v>
      </c>
      <c r="F25" s="4"/>
      <c r="G25" s="8" t="s">
        <v>77</v>
      </c>
      <c r="H25" s="7">
        <v>512</v>
      </c>
      <c r="I25" s="7">
        <v>256</v>
      </c>
      <c r="J25" s="7">
        <v>768</v>
      </c>
      <c r="K25" s="7">
        <v>768</v>
      </c>
      <c r="L25" s="7">
        <v>768</v>
      </c>
      <c r="M25" s="12" t="s">
        <v>128</v>
      </c>
      <c r="N25" s="3"/>
      <c r="O25" s="24" t="s">
        <v>98</v>
      </c>
      <c r="P25" s="35" t="s">
        <v>136</v>
      </c>
      <c r="Q25" s="8">
        <v>64</v>
      </c>
      <c r="R25" s="8">
        <v>4</v>
      </c>
      <c r="S25" s="7">
        <v>4</v>
      </c>
      <c r="T25" s="7">
        <f>Q25*R25*S25</f>
        <v>1024</v>
      </c>
      <c r="U25" s="27">
        <f>T25+T26</f>
        <v>1376</v>
      </c>
    </row>
    <row r="26" spans="1:21" x14ac:dyDescent="0.2">
      <c r="A26" s="8" t="s">
        <v>82</v>
      </c>
      <c r="B26" s="8">
        <v>16</v>
      </c>
      <c r="C26" s="8">
        <v>16</v>
      </c>
      <c r="D26" s="7">
        <v>2</v>
      </c>
      <c r="E26" s="7">
        <f t="shared" ref="E26:E28" si="4">B26*C26*D26</f>
        <v>512</v>
      </c>
      <c r="F26" s="4"/>
      <c r="G26" s="8" t="s">
        <v>82</v>
      </c>
      <c r="H26" s="7">
        <v>512</v>
      </c>
      <c r="I26" s="7">
        <v>256</v>
      </c>
      <c r="J26" s="7">
        <v>768</v>
      </c>
      <c r="K26" s="7">
        <v>768</v>
      </c>
      <c r="L26" s="7">
        <v>1536</v>
      </c>
      <c r="M26" s="27" t="s">
        <v>129</v>
      </c>
      <c r="N26" s="3"/>
      <c r="O26" s="26"/>
      <c r="P26" s="34" t="s">
        <v>137</v>
      </c>
      <c r="Q26" s="8">
        <v>16</v>
      </c>
      <c r="R26" s="8">
        <v>11</v>
      </c>
      <c r="S26" s="7">
        <v>2</v>
      </c>
      <c r="T26" s="7">
        <f t="shared" ref="T26:T29" si="5">Q26*R26*S26</f>
        <v>352</v>
      </c>
      <c r="U26" s="29"/>
    </row>
    <row r="27" spans="1:21" x14ac:dyDescent="0.2">
      <c r="A27" s="8" t="s">
        <v>86</v>
      </c>
      <c r="B27" s="8">
        <v>4</v>
      </c>
      <c r="C27" s="8">
        <v>64</v>
      </c>
      <c r="D27" s="7">
        <v>2</v>
      </c>
      <c r="E27" s="7">
        <f t="shared" si="4"/>
        <v>512</v>
      </c>
      <c r="F27" s="4"/>
      <c r="G27" s="16" t="s">
        <v>86</v>
      </c>
      <c r="H27" s="17">
        <v>1024</v>
      </c>
      <c r="I27" s="17">
        <v>256</v>
      </c>
      <c r="J27" s="17">
        <v>1280</v>
      </c>
      <c r="K27" s="17">
        <v>512</v>
      </c>
      <c r="L27" s="17">
        <v>1792</v>
      </c>
      <c r="M27" s="29"/>
      <c r="N27" s="3"/>
      <c r="O27" s="30" t="s">
        <v>98</v>
      </c>
      <c r="P27" s="34" t="s">
        <v>138</v>
      </c>
      <c r="Q27" s="8">
        <v>16</v>
      </c>
      <c r="R27" s="8">
        <v>11</v>
      </c>
      <c r="S27" s="7">
        <v>2</v>
      </c>
      <c r="T27" s="7">
        <f t="shared" si="5"/>
        <v>352</v>
      </c>
      <c r="U27" s="27">
        <f>T27+T28+T29</f>
        <v>1240</v>
      </c>
    </row>
    <row r="28" spans="1:21" x14ac:dyDescent="0.2">
      <c r="A28" s="8" t="s">
        <v>105</v>
      </c>
      <c r="B28" s="8">
        <v>4</v>
      </c>
      <c r="C28" s="8">
        <v>64</v>
      </c>
      <c r="D28" s="7">
        <v>2</v>
      </c>
      <c r="E28" s="7">
        <f t="shared" si="4"/>
        <v>512</v>
      </c>
      <c r="F28" s="4"/>
      <c r="G28" s="7" t="s">
        <v>79</v>
      </c>
      <c r="H28" s="7">
        <v>0</v>
      </c>
      <c r="I28" s="7">
        <v>512</v>
      </c>
      <c r="J28" s="7">
        <v>512</v>
      </c>
      <c r="K28" s="7">
        <v>0</v>
      </c>
      <c r="L28" s="7">
        <v>512</v>
      </c>
      <c r="M28" s="12" t="s">
        <v>130</v>
      </c>
      <c r="N28" s="3"/>
      <c r="O28" s="31"/>
      <c r="P28" s="34" t="s">
        <v>139</v>
      </c>
      <c r="Q28" s="8">
        <v>4</v>
      </c>
      <c r="R28" s="8">
        <v>38</v>
      </c>
      <c r="S28" s="11">
        <v>4</v>
      </c>
      <c r="T28" s="7">
        <f t="shared" si="5"/>
        <v>608</v>
      </c>
      <c r="U28" s="28"/>
    </row>
    <row r="29" spans="1:21" x14ac:dyDescent="0.2">
      <c r="A29" s="7"/>
      <c r="B29" s="7"/>
      <c r="C29" s="7"/>
      <c r="D29" s="7"/>
      <c r="E29" s="7">
        <v>2048</v>
      </c>
      <c r="F29" s="4"/>
      <c r="G29" s="4"/>
      <c r="H29" s="4"/>
      <c r="I29" s="4"/>
      <c r="J29" s="4"/>
      <c r="K29" s="4"/>
      <c r="L29" s="4"/>
      <c r="M29" s="4"/>
      <c r="N29" s="3"/>
      <c r="O29" s="32"/>
      <c r="P29" s="34" t="s">
        <v>140</v>
      </c>
      <c r="Q29" s="8">
        <v>1</v>
      </c>
      <c r="R29" s="7">
        <v>140</v>
      </c>
      <c r="S29" s="7">
        <v>2</v>
      </c>
      <c r="T29" s="7">
        <f t="shared" si="5"/>
        <v>280</v>
      </c>
      <c r="U29" s="29"/>
    </row>
    <row r="30" spans="1:21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1" x14ac:dyDescent="0.2">
      <c r="A31" s="18" t="s">
        <v>110</v>
      </c>
      <c r="B31" s="19" t="s">
        <v>72</v>
      </c>
      <c r="C31" s="19" t="s">
        <v>121</v>
      </c>
      <c r="D31" s="18" t="s">
        <v>94</v>
      </c>
      <c r="E31" s="18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</row>
    <row r="32" spans="1:21" x14ac:dyDescent="0.2">
      <c r="A32" s="33" t="s">
        <v>131</v>
      </c>
      <c r="B32" s="19">
        <v>64</v>
      </c>
      <c r="C32" s="20">
        <v>2</v>
      </c>
      <c r="D32" s="18">
        <v>2</v>
      </c>
      <c r="E32" s="7">
        <f>B32*C32*D32</f>
        <v>256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</row>
    <row r="33" spans="1:21" x14ac:dyDescent="0.2">
      <c r="A33" s="33" t="s">
        <v>132</v>
      </c>
      <c r="B33" s="19">
        <v>16</v>
      </c>
      <c r="C33" s="18">
        <v>4</v>
      </c>
      <c r="D33" s="18">
        <v>2</v>
      </c>
      <c r="E33" s="7">
        <f t="shared" ref="E33:E35" si="6">B33*C33*D33</f>
        <v>128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</row>
    <row r="34" spans="1:21" x14ac:dyDescent="0.2">
      <c r="A34" s="33" t="s">
        <v>133</v>
      </c>
      <c r="B34" s="19">
        <v>4</v>
      </c>
      <c r="C34" s="18">
        <v>16</v>
      </c>
      <c r="D34" s="18">
        <v>2</v>
      </c>
      <c r="E34" s="7">
        <f t="shared" si="6"/>
        <v>128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</row>
    <row r="35" spans="1:21" x14ac:dyDescent="0.2">
      <c r="A35" s="33" t="s">
        <v>134</v>
      </c>
      <c r="B35" s="19">
        <v>1</v>
      </c>
      <c r="C35" s="18">
        <v>64</v>
      </c>
      <c r="D35" s="18">
        <v>2</v>
      </c>
      <c r="E35" s="7">
        <f t="shared" si="6"/>
        <v>128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</row>
    <row r="36" spans="1:21" x14ac:dyDescent="0.2">
      <c r="A36" s="18"/>
      <c r="B36" s="18"/>
      <c r="C36" s="18"/>
      <c r="D36" s="18"/>
      <c r="E36" s="18">
        <v>640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</row>
    <row r="37" spans="1:21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">
      <c r="A38" s="44" t="s">
        <v>204</v>
      </c>
      <c r="B38" s="45"/>
      <c r="C38" s="45"/>
      <c r="D38" s="45"/>
      <c r="E38" s="45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">
      <c r="A39" s="46" t="s">
        <v>199</v>
      </c>
      <c r="B39" s="38"/>
      <c r="C39" s="38"/>
      <c r="D39" s="38"/>
      <c r="E39" s="38"/>
      <c r="F39" s="37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">
      <c r="A40" s="42" t="s">
        <v>211</v>
      </c>
      <c r="B40" s="43">
        <v>128</v>
      </c>
      <c r="C40" s="47">
        <v>1</v>
      </c>
      <c r="D40" s="38">
        <v>4</v>
      </c>
      <c r="E40" s="38">
        <f>B40*C40*D40</f>
        <v>512</v>
      </c>
      <c r="F40" s="37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">
      <c r="A41" s="46" t="s">
        <v>200</v>
      </c>
      <c r="B41" s="38">
        <v>256</v>
      </c>
      <c r="C41" s="38">
        <v>1</v>
      </c>
      <c r="D41" s="38">
        <v>4</v>
      </c>
      <c r="E41" s="38">
        <f>B41*C41*D41</f>
        <v>1024</v>
      </c>
      <c r="F41" s="37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  <row r="42" spans="1:21" x14ac:dyDescent="0.2">
      <c r="A42" s="48"/>
      <c r="B42" s="48"/>
      <c r="C42" s="48"/>
      <c r="D42" s="48"/>
      <c r="E42" s="48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</row>
    <row r="43" spans="1:21" x14ac:dyDescent="0.2">
      <c r="A43" s="46" t="s">
        <v>201</v>
      </c>
      <c r="B43" s="38"/>
      <c r="C43" s="38"/>
      <c r="D43" s="38"/>
      <c r="E43" s="38"/>
      <c r="F43" s="37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</row>
    <row r="44" spans="1:21" x14ac:dyDescent="0.2">
      <c r="A44" s="39" t="s">
        <v>202</v>
      </c>
      <c r="B44" s="40">
        <v>64</v>
      </c>
      <c r="C44" s="40">
        <v>4</v>
      </c>
      <c r="D44" s="41">
        <v>4</v>
      </c>
      <c r="E44" s="41">
        <f>B44*C44*D44</f>
        <v>1024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</row>
    <row r="45" spans="1:21" x14ac:dyDescent="0.2">
      <c r="A45" s="34" t="s">
        <v>210</v>
      </c>
      <c r="B45" s="8">
        <v>32</v>
      </c>
      <c r="C45" s="7">
        <v>4</v>
      </c>
      <c r="D45" s="7">
        <v>2</v>
      </c>
      <c r="E45" s="7">
        <f t="shared" ref="E45" si="7">B45*C45*D45</f>
        <v>256</v>
      </c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</row>
    <row r="46" spans="1:21" x14ac:dyDescent="0.2">
      <c r="A46" s="45"/>
      <c r="B46" s="45"/>
      <c r="C46" s="45"/>
      <c r="D46" s="45"/>
      <c r="E46" s="45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</row>
    <row r="47" spans="1:21" x14ac:dyDescent="0.2">
      <c r="A47" s="46" t="s">
        <v>203</v>
      </c>
      <c r="B47" s="38"/>
      <c r="C47" s="38"/>
      <c r="D47" s="38"/>
      <c r="E47" s="38"/>
      <c r="F47" s="37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</row>
    <row r="48" spans="1:21" x14ac:dyDescent="0.2">
      <c r="A48" s="42" t="s">
        <v>208</v>
      </c>
      <c r="B48" s="43">
        <v>16</v>
      </c>
      <c r="C48" s="43">
        <v>16</v>
      </c>
      <c r="D48" s="38">
        <v>2</v>
      </c>
      <c r="E48" s="38">
        <f t="shared" ref="E48:E50" si="8">B48*C48*D48</f>
        <v>512</v>
      </c>
      <c r="F48" s="37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</row>
    <row r="49" spans="1:21" x14ac:dyDescent="0.2">
      <c r="A49" s="39" t="s">
        <v>209</v>
      </c>
      <c r="B49" s="40">
        <v>4</v>
      </c>
      <c r="C49" s="41">
        <v>16</v>
      </c>
      <c r="D49" s="41">
        <v>2</v>
      </c>
      <c r="E49" s="41">
        <f t="shared" si="8"/>
        <v>128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</row>
    <row r="50" spans="1:21" x14ac:dyDescent="0.2">
      <c r="A50" s="34" t="s">
        <v>212</v>
      </c>
      <c r="B50" s="8">
        <v>4</v>
      </c>
      <c r="C50" s="7">
        <v>16</v>
      </c>
      <c r="D50" s="7">
        <v>2</v>
      </c>
      <c r="E50" s="7">
        <f t="shared" si="8"/>
        <v>128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</row>
    <row r="51" spans="1:21" x14ac:dyDescent="0.2">
      <c r="A51" s="4"/>
      <c r="B51" s="4"/>
      <c r="C51" s="4"/>
      <c r="D51" s="4"/>
      <c r="E51" s="4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</row>
    <row r="52" spans="1:21" x14ac:dyDescent="0.2">
      <c r="A52" s="49" t="s">
        <v>205</v>
      </c>
      <c r="B52" s="4"/>
      <c r="C52" s="4"/>
      <c r="D52" s="4"/>
      <c r="E52" s="4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</row>
    <row r="53" spans="1:21" x14ac:dyDescent="0.2">
      <c r="A53" s="34" t="s">
        <v>206</v>
      </c>
      <c r="B53" s="8">
        <v>4</v>
      </c>
      <c r="C53" s="8">
        <v>72</v>
      </c>
      <c r="D53" s="7">
        <v>2</v>
      </c>
      <c r="E53" s="7">
        <f t="shared" ref="E53:E54" si="9">B53*C53*D53</f>
        <v>576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</row>
    <row r="54" spans="1:21" x14ac:dyDescent="0.2">
      <c r="A54" s="34" t="s">
        <v>207</v>
      </c>
      <c r="B54" s="8">
        <v>4</v>
      </c>
      <c r="C54" s="8">
        <v>72</v>
      </c>
      <c r="D54" s="7">
        <v>2</v>
      </c>
      <c r="E54" s="7">
        <f t="shared" si="9"/>
        <v>576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</row>
    <row r="55" spans="1:21" x14ac:dyDescent="0.2">
      <c r="A55" s="4"/>
      <c r="B55" s="4"/>
      <c r="C55" s="4"/>
      <c r="D55" s="4"/>
      <c r="E55" s="4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</row>
    <row r="56" spans="1:21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</row>
    <row r="57" spans="1:2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x14ac:dyDescent="0.2">
      <c r="A204" s="3"/>
      <c r="B204" s="3"/>
      <c r="C204" s="3"/>
      <c r="D204" s="3"/>
      <c r="E204" s="3"/>
    </row>
  </sheetData>
  <mergeCells count="23">
    <mergeCell ref="A23:K23"/>
    <mergeCell ref="M26:M27"/>
    <mergeCell ref="O25:O26"/>
    <mergeCell ref="U25:U26"/>
    <mergeCell ref="O27:O29"/>
    <mergeCell ref="U27:U29"/>
    <mergeCell ref="G17:G19"/>
    <mergeCell ref="M17:M19"/>
    <mergeCell ref="O17:O19"/>
    <mergeCell ref="U17:U19"/>
    <mergeCell ref="G20:G21"/>
    <mergeCell ref="M20:M21"/>
    <mergeCell ref="O20:O21"/>
    <mergeCell ref="U20:U21"/>
    <mergeCell ref="A8:K8"/>
    <mergeCell ref="G10:G12"/>
    <mergeCell ref="M10:M12"/>
    <mergeCell ref="O10:O11"/>
    <mergeCell ref="U10:U11"/>
    <mergeCell ref="O12:O14"/>
    <mergeCell ref="U12:U14"/>
    <mergeCell ref="G13:G14"/>
    <mergeCell ref="M13:M1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32D1-4B94-487D-B28D-6E027395071B}">
  <dimension ref="A1:AB19"/>
  <sheetViews>
    <sheetView workbookViewId="0">
      <selection activeCell="C31" sqref="C31"/>
    </sheetView>
  </sheetViews>
  <sheetFormatPr defaultRowHeight="14.25" x14ac:dyDescent="0.2"/>
  <cols>
    <col min="1" max="1" width="21.5" customWidth="1"/>
    <col min="7" max="7" width="10.5" customWidth="1"/>
    <col min="17" max="17" width="11.125" customWidth="1"/>
    <col min="18" max="18" width="7.5" customWidth="1"/>
  </cols>
  <sheetData>
    <row r="1" spans="1:28" x14ac:dyDescent="0.2">
      <c r="A1" t="s">
        <v>0</v>
      </c>
      <c r="B1" t="s">
        <v>194</v>
      </c>
      <c r="H1" t="s">
        <v>17</v>
      </c>
      <c r="I1" t="s">
        <v>18</v>
      </c>
      <c r="J1" t="s">
        <v>19</v>
      </c>
      <c r="L1" t="s">
        <v>20</v>
      </c>
      <c r="M1" t="s">
        <v>21</v>
      </c>
      <c r="N1" t="s">
        <v>22</v>
      </c>
      <c r="P1" t="s">
        <v>24</v>
      </c>
      <c r="Q1" t="s">
        <v>28</v>
      </c>
      <c r="R1" t="s">
        <v>29</v>
      </c>
      <c r="S1" t="s">
        <v>30</v>
      </c>
      <c r="U1" t="s">
        <v>14</v>
      </c>
      <c r="V1" t="s">
        <v>16</v>
      </c>
      <c r="W1" t="s">
        <v>15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2">
      <c r="A2" t="s">
        <v>1</v>
      </c>
      <c r="B2" t="s">
        <v>2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78</v>
      </c>
      <c r="R2">
        <v>-25</v>
      </c>
      <c r="S2">
        <v>75</v>
      </c>
      <c r="U2">
        <v>4</v>
      </c>
      <c r="V2">
        <v>19</v>
      </c>
      <c r="W2">
        <v>1</v>
      </c>
      <c r="Y2">
        <v>2</v>
      </c>
      <c r="Z2">
        <v>23</v>
      </c>
      <c r="AA2">
        <v>-9</v>
      </c>
      <c r="AB2">
        <v>16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59</v>
      </c>
      <c r="B5">
        <v>0</v>
      </c>
      <c r="C5">
        <f>B5+$Y$2</f>
        <v>2</v>
      </c>
      <c r="D5">
        <f>C5+$Z$2</f>
        <v>25</v>
      </c>
      <c r="E5">
        <f>D5+$AA$2</f>
        <v>16</v>
      </c>
      <c r="F5">
        <f>E5+$AB$2</f>
        <v>32</v>
      </c>
    </row>
    <row r="6" spans="1:28" x14ac:dyDescent="0.2">
      <c r="A6" t="s">
        <v>60</v>
      </c>
      <c r="B6">
        <f t="shared" ref="B6:B18" si="0">D5-2</f>
        <v>23</v>
      </c>
      <c r="C6">
        <f>B6+$Y$2</f>
        <v>25</v>
      </c>
      <c r="D6">
        <f>C6+$Z$2</f>
        <v>48</v>
      </c>
      <c r="E6">
        <f>D6+$AA$2</f>
        <v>39</v>
      </c>
      <c r="F6">
        <f>E6+$AB$2</f>
        <v>55</v>
      </c>
    </row>
    <row r="7" spans="1:28" x14ac:dyDescent="0.2">
      <c r="A7" t="s">
        <v>61</v>
      </c>
      <c r="B7">
        <f t="shared" si="0"/>
        <v>46</v>
      </c>
      <c r="C7">
        <f>B7+$P$2</f>
        <v>48</v>
      </c>
      <c r="D7">
        <f>C7+$Q$2</f>
        <v>126</v>
      </c>
      <c r="E7">
        <f>D7+$R$2</f>
        <v>101</v>
      </c>
      <c r="F7">
        <f>E7+$S$2</f>
        <v>176</v>
      </c>
    </row>
    <row r="8" spans="1:28" x14ac:dyDescent="0.2">
      <c r="A8" t="s">
        <v>62</v>
      </c>
      <c r="B8">
        <f t="shared" si="0"/>
        <v>124</v>
      </c>
      <c r="C8">
        <f>B8+$P$2</f>
        <v>126</v>
      </c>
      <c r="D8">
        <f>C8+$Q$2</f>
        <v>204</v>
      </c>
      <c r="E8">
        <f>D8+$R$2</f>
        <v>179</v>
      </c>
      <c r="F8">
        <f>E8+$S$2</f>
        <v>254</v>
      </c>
    </row>
    <row r="9" spans="1:28" x14ac:dyDescent="0.2">
      <c r="A9" t="s">
        <v>63</v>
      </c>
      <c r="B9">
        <f t="shared" si="0"/>
        <v>202</v>
      </c>
      <c r="C9">
        <f>B9+$Y$2</f>
        <v>204</v>
      </c>
      <c r="D9">
        <f>C9+$Z$2</f>
        <v>227</v>
      </c>
      <c r="E9">
        <f>D9+$AA$2</f>
        <v>218</v>
      </c>
      <c r="F9">
        <f>E9+$AB$2</f>
        <v>234</v>
      </c>
    </row>
    <row r="10" spans="1:28" x14ac:dyDescent="0.2">
      <c r="A10" t="s">
        <v>64</v>
      </c>
      <c r="B10">
        <f t="shared" si="0"/>
        <v>225</v>
      </c>
      <c r="C10">
        <f>B10+$Y$2</f>
        <v>227</v>
      </c>
      <c r="D10">
        <f>C10+$Z$2</f>
        <v>250</v>
      </c>
      <c r="E10">
        <f>D10+$AA$2</f>
        <v>241</v>
      </c>
      <c r="F10">
        <f>E10+$AB$2</f>
        <v>257</v>
      </c>
    </row>
    <row r="11" spans="1:28" x14ac:dyDescent="0.2">
      <c r="A11" t="s">
        <v>65</v>
      </c>
      <c r="B11">
        <f t="shared" si="0"/>
        <v>248</v>
      </c>
      <c r="C11">
        <f>B11+$P$2</f>
        <v>250</v>
      </c>
      <c r="D11">
        <f>C11+$Q$2</f>
        <v>328</v>
      </c>
      <c r="E11">
        <f>D11+$R$2</f>
        <v>303</v>
      </c>
      <c r="F11">
        <f>E11+$S$2</f>
        <v>378</v>
      </c>
    </row>
    <row r="12" spans="1:28" x14ac:dyDescent="0.2">
      <c r="A12" t="s">
        <v>66</v>
      </c>
      <c r="B12">
        <f t="shared" si="0"/>
        <v>326</v>
      </c>
      <c r="C12">
        <f>B12+$P$2</f>
        <v>328</v>
      </c>
      <c r="D12">
        <f>C12+$Q$2</f>
        <v>406</v>
      </c>
      <c r="E12">
        <f>D12+$R$2</f>
        <v>381</v>
      </c>
      <c r="F12">
        <f>E12+$S$2</f>
        <v>456</v>
      </c>
    </row>
    <row r="13" spans="1:28" x14ac:dyDescent="0.2">
      <c r="A13" t="s">
        <v>67</v>
      </c>
      <c r="B13">
        <f t="shared" si="0"/>
        <v>404</v>
      </c>
      <c r="C13">
        <f>B13+$Y$2</f>
        <v>406</v>
      </c>
      <c r="D13">
        <f>C13+$Z$2</f>
        <v>429</v>
      </c>
      <c r="E13">
        <f>D13+$AA$2</f>
        <v>420</v>
      </c>
      <c r="F13">
        <f>E13+$AB$2</f>
        <v>436</v>
      </c>
    </row>
    <row r="14" spans="1:28" x14ac:dyDescent="0.2">
      <c r="A14" t="s">
        <v>68</v>
      </c>
      <c r="B14">
        <f t="shared" si="0"/>
        <v>427</v>
      </c>
      <c r="C14">
        <f>B14+$Y$2</f>
        <v>429</v>
      </c>
      <c r="D14">
        <f>C14+$Z$2</f>
        <v>452</v>
      </c>
      <c r="E14">
        <f>D14+$AA$2</f>
        <v>443</v>
      </c>
      <c r="F14">
        <f>E14+$AB$2</f>
        <v>459</v>
      </c>
    </row>
    <row r="15" spans="1:28" x14ac:dyDescent="0.2">
      <c r="A15" t="s">
        <v>195</v>
      </c>
      <c r="B15">
        <f t="shared" si="0"/>
        <v>450</v>
      </c>
      <c r="C15">
        <f>B15+$P$2</f>
        <v>452</v>
      </c>
      <c r="D15">
        <f>C15+$Q$2</f>
        <v>530</v>
      </c>
      <c r="E15">
        <f>D15+$R$2</f>
        <v>505</v>
      </c>
      <c r="F15">
        <f>E15+$S$2</f>
        <v>580</v>
      </c>
    </row>
    <row r="16" spans="1:28" x14ac:dyDescent="0.2">
      <c r="A16" t="s">
        <v>196</v>
      </c>
      <c r="B16">
        <f t="shared" si="0"/>
        <v>528</v>
      </c>
      <c r="C16">
        <f>B16+$P$2</f>
        <v>530</v>
      </c>
      <c r="D16">
        <f>C16+$Q$2</f>
        <v>608</v>
      </c>
      <c r="E16">
        <f>D16+$R$2</f>
        <v>583</v>
      </c>
      <c r="F16">
        <f>E16+$S$2</f>
        <v>658</v>
      </c>
    </row>
    <row r="17" spans="1:6" x14ac:dyDescent="0.2">
      <c r="A17" t="s">
        <v>69</v>
      </c>
      <c r="B17">
        <f t="shared" si="0"/>
        <v>606</v>
      </c>
      <c r="C17">
        <f>B17+$Y$2</f>
        <v>608</v>
      </c>
      <c r="D17">
        <f>C17+$Z$2</f>
        <v>631</v>
      </c>
      <c r="E17">
        <f>D17+$AA$2</f>
        <v>622</v>
      </c>
      <c r="F17">
        <f>E17+$AB$2</f>
        <v>638</v>
      </c>
    </row>
    <row r="18" spans="1:6" s="1" customFormat="1" x14ac:dyDescent="0.2">
      <c r="A18" s="1" t="s">
        <v>70</v>
      </c>
      <c r="B18" s="1">
        <f t="shared" si="0"/>
        <v>629</v>
      </c>
      <c r="C18" s="1">
        <f>B18+$Y$2</f>
        <v>631</v>
      </c>
      <c r="D18" s="1">
        <f>C18+$Z$2</f>
        <v>654</v>
      </c>
      <c r="E18" s="1">
        <f>D18+$AA$2</f>
        <v>645</v>
      </c>
      <c r="F18" s="1">
        <f>E18+$AB$2</f>
        <v>661</v>
      </c>
    </row>
    <row r="19" spans="1:6" x14ac:dyDescent="0.2">
      <c r="A19" s="1"/>
      <c r="B19" s="1"/>
      <c r="C19" s="1"/>
      <c r="D19" s="1"/>
      <c r="E19" s="1"/>
      <c r="F19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7FD03-BF78-46BE-832D-3A5B174965E9}">
  <dimension ref="A1:AB35"/>
  <sheetViews>
    <sheetView workbookViewId="0">
      <selection activeCell="B2" sqref="B2"/>
    </sheetView>
  </sheetViews>
  <sheetFormatPr defaultRowHeight="14.25" x14ac:dyDescent="0.2"/>
  <cols>
    <col min="1" max="1" width="21.5" customWidth="1"/>
    <col min="3" max="3" width="10.625" customWidth="1"/>
  </cols>
  <sheetData>
    <row r="1" spans="1:28" x14ac:dyDescent="0.2">
      <c r="A1" t="s">
        <v>0</v>
      </c>
      <c r="B1" t="s">
        <v>193</v>
      </c>
      <c r="H1" t="s">
        <v>17</v>
      </c>
      <c r="I1" t="s">
        <v>18</v>
      </c>
      <c r="J1" t="s">
        <v>19</v>
      </c>
      <c r="L1" t="s">
        <v>20</v>
      </c>
      <c r="M1" t="s">
        <v>21</v>
      </c>
      <c r="N1" t="s">
        <v>22</v>
      </c>
      <c r="P1" t="s">
        <v>24</v>
      </c>
      <c r="Q1" t="s">
        <v>11</v>
      </c>
      <c r="R1" t="s">
        <v>12</v>
      </c>
      <c r="S1" t="s">
        <v>13</v>
      </c>
      <c r="U1" t="s">
        <v>14</v>
      </c>
      <c r="V1" t="s">
        <v>16</v>
      </c>
      <c r="W1" t="s">
        <v>15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2">
      <c r="A2" t="s">
        <v>1</v>
      </c>
      <c r="B2" t="s">
        <v>2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8</v>
      </c>
      <c r="R2">
        <v>2</v>
      </c>
      <c r="S2">
        <v>4</v>
      </c>
      <c r="U2">
        <v>4</v>
      </c>
      <c r="V2">
        <v>19</v>
      </c>
      <c r="W2">
        <v>1</v>
      </c>
      <c r="Y2">
        <v>2</v>
      </c>
      <c r="Z2">
        <v>23</v>
      </c>
      <c r="AA2">
        <v>-13</v>
      </c>
      <c r="AB2">
        <v>16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31</v>
      </c>
      <c r="B5">
        <v>0</v>
      </c>
      <c r="C5">
        <f>B5+$P$2</f>
        <v>2</v>
      </c>
      <c r="D5">
        <f>C5+$Q$2</f>
        <v>10</v>
      </c>
      <c r="E5">
        <f>D5+$R$2</f>
        <v>12</v>
      </c>
      <c r="F5">
        <f>E5+$S$2</f>
        <v>16</v>
      </c>
    </row>
    <row r="6" spans="1:28" x14ac:dyDescent="0.2">
      <c r="A6" t="s">
        <v>32</v>
      </c>
      <c r="B6">
        <f>B5+8</f>
        <v>8</v>
      </c>
      <c r="C6">
        <f t="shared" ref="C6:C8" si="0">B6+$P$2</f>
        <v>10</v>
      </c>
      <c r="D6">
        <f t="shared" ref="D6:D8" si="1">C6+$Q$2</f>
        <v>18</v>
      </c>
      <c r="E6">
        <f t="shared" ref="E6:E8" si="2">D6+$R$2</f>
        <v>20</v>
      </c>
      <c r="F6">
        <f t="shared" ref="F6:F8" si="3">E6+$S$2</f>
        <v>24</v>
      </c>
    </row>
    <row r="7" spans="1:28" x14ac:dyDescent="0.2">
      <c r="A7" t="s">
        <v>33</v>
      </c>
      <c r="B7">
        <f>B6+8</f>
        <v>16</v>
      </c>
      <c r="C7">
        <f t="shared" si="0"/>
        <v>18</v>
      </c>
      <c r="D7">
        <f t="shared" si="1"/>
        <v>26</v>
      </c>
      <c r="E7">
        <f t="shared" si="2"/>
        <v>28</v>
      </c>
      <c r="F7">
        <f t="shared" si="3"/>
        <v>32</v>
      </c>
    </row>
    <row r="8" spans="1:28" x14ac:dyDescent="0.2">
      <c r="A8" t="s">
        <v>53</v>
      </c>
      <c r="B8">
        <f>B7+8</f>
        <v>24</v>
      </c>
      <c r="C8">
        <f t="shared" si="0"/>
        <v>26</v>
      </c>
      <c r="D8">
        <f t="shared" si="1"/>
        <v>34</v>
      </c>
      <c r="E8">
        <f t="shared" si="2"/>
        <v>36</v>
      </c>
      <c r="F8">
        <f t="shared" si="3"/>
        <v>40</v>
      </c>
    </row>
    <row r="9" spans="1:28" x14ac:dyDescent="0.2">
      <c r="A9" t="s">
        <v>34</v>
      </c>
      <c r="C9">
        <f>E8</f>
        <v>36</v>
      </c>
      <c r="D9">
        <f>C9+$U$2</f>
        <v>40</v>
      </c>
      <c r="E9">
        <f>D9+$V$2</f>
        <v>59</v>
      </c>
      <c r="F9">
        <f>E9+$W$2</f>
        <v>60</v>
      </c>
    </row>
    <row r="10" spans="1:28" x14ac:dyDescent="0.2">
      <c r="A10" t="s">
        <v>35</v>
      </c>
      <c r="C10">
        <f>F9</f>
        <v>60</v>
      </c>
      <c r="D10">
        <f>C10+$H$2</f>
        <v>61</v>
      </c>
      <c r="E10">
        <f>D10+$I$2</f>
        <v>62</v>
      </c>
      <c r="F10">
        <f>E10+$J$2</f>
        <v>63</v>
      </c>
    </row>
    <row r="11" spans="1:28" x14ac:dyDescent="0.2">
      <c r="A11" t="s">
        <v>36</v>
      </c>
      <c r="C11">
        <f>F10</f>
        <v>63</v>
      </c>
      <c r="D11">
        <f>C11+$L$2</f>
        <v>64</v>
      </c>
      <c r="E11">
        <f>D11+$M$2</f>
        <v>65</v>
      </c>
      <c r="F11">
        <f>E11+$N$2</f>
        <v>66</v>
      </c>
    </row>
    <row r="12" spans="1:28" x14ac:dyDescent="0.2">
      <c r="A12" t="s">
        <v>47</v>
      </c>
      <c r="B12">
        <f>D29-2</f>
        <v>72</v>
      </c>
      <c r="C12">
        <f>B12+$P$2</f>
        <v>74</v>
      </c>
      <c r="D12">
        <f>C12+$Q$2</f>
        <v>82</v>
      </c>
      <c r="E12">
        <f>D12+$R$2</f>
        <v>84</v>
      </c>
      <c r="F12">
        <f>E12+$S$2</f>
        <v>88</v>
      </c>
    </row>
    <row r="13" spans="1:28" x14ac:dyDescent="0.2">
      <c r="A13" t="s">
        <v>39</v>
      </c>
      <c r="C13">
        <f>E12</f>
        <v>84</v>
      </c>
      <c r="D13">
        <f>C13+$U$2</f>
        <v>88</v>
      </c>
      <c r="E13">
        <f>D13+$V$2</f>
        <v>107</v>
      </c>
      <c r="F13">
        <f>E13+$W$2</f>
        <v>108</v>
      </c>
    </row>
    <row r="14" spans="1:28" x14ac:dyDescent="0.2">
      <c r="A14" t="s">
        <v>35</v>
      </c>
      <c r="C14">
        <f>F13</f>
        <v>108</v>
      </c>
      <c r="D14">
        <f>C14+$H$2</f>
        <v>109</v>
      </c>
      <c r="E14">
        <f>D14+$I$2</f>
        <v>110</v>
      </c>
      <c r="F14">
        <f>E14+$J$2</f>
        <v>111</v>
      </c>
    </row>
    <row r="15" spans="1:28" x14ac:dyDescent="0.2">
      <c r="A15" t="s">
        <v>36</v>
      </c>
      <c r="C15">
        <f>F14</f>
        <v>111</v>
      </c>
      <c r="D15">
        <f>C15+$L$2</f>
        <v>112</v>
      </c>
      <c r="E15">
        <f>D15+$M$2</f>
        <v>113</v>
      </c>
      <c r="F15">
        <f>E15+$N$2</f>
        <v>114</v>
      </c>
    </row>
    <row r="16" spans="1:28" x14ac:dyDescent="0.2">
      <c r="A16" t="s">
        <v>40</v>
      </c>
      <c r="B16">
        <f>D32-2</f>
        <v>119</v>
      </c>
      <c r="C16">
        <f>B16+$P$2</f>
        <v>121</v>
      </c>
      <c r="D16">
        <f>C16+$Q$2</f>
        <v>129</v>
      </c>
      <c r="E16">
        <f>D16+$R$2</f>
        <v>131</v>
      </c>
      <c r="F16">
        <f>E16+$S$2</f>
        <v>135</v>
      </c>
    </row>
    <row r="17" spans="1:6" x14ac:dyDescent="0.2">
      <c r="A17" t="s">
        <v>39</v>
      </c>
      <c r="C17">
        <f>E16</f>
        <v>131</v>
      </c>
      <c r="D17">
        <f>C17+$U$2</f>
        <v>135</v>
      </c>
      <c r="E17">
        <f>D17+$V$2</f>
        <v>154</v>
      </c>
      <c r="F17">
        <f>E17+$W$2</f>
        <v>155</v>
      </c>
    </row>
    <row r="18" spans="1:6" x14ac:dyDescent="0.2">
      <c r="A18" t="s">
        <v>35</v>
      </c>
      <c r="C18">
        <f>F17</f>
        <v>155</v>
      </c>
      <c r="D18">
        <f>C18+$H$2</f>
        <v>156</v>
      </c>
      <c r="E18">
        <f>D18+$I$2</f>
        <v>157</v>
      </c>
      <c r="F18">
        <f>E18+$J$2</f>
        <v>158</v>
      </c>
    </row>
    <row r="19" spans="1:6" x14ac:dyDescent="0.2">
      <c r="A19" t="s">
        <v>36</v>
      </c>
      <c r="C19">
        <f>F18</f>
        <v>158</v>
      </c>
      <c r="D19">
        <f>C19+$L$2</f>
        <v>159</v>
      </c>
      <c r="E19">
        <f>D19+$M$2</f>
        <v>160</v>
      </c>
      <c r="F19">
        <f>E19+$N$2</f>
        <v>161</v>
      </c>
    </row>
    <row r="20" spans="1:6" x14ac:dyDescent="0.2">
      <c r="A20" t="s">
        <v>45</v>
      </c>
      <c r="B20">
        <f>D35-2</f>
        <v>166</v>
      </c>
      <c r="C20">
        <f>B20+$P$2</f>
        <v>168</v>
      </c>
      <c r="D20">
        <f>C20+$Q$2</f>
        <v>176</v>
      </c>
      <c r="E20">
        <f>D20+$R$2</f>
        <v>178</v>
      </c>
      <c r="F20">
        <f>E20+$S$2</f>
        <v>182</v>
      </c>
    </row>
    <row r="21" spans="1:6" x14ac:dyDescent="0.2">
      <c r="A21" t="s">
        <v>34</v>
      </c>
      <c r="C21">
        <f>E20</f>
        <v>178</v>
      </c>
      <c r="D21">
        <f>C21+$U$2</f>
        <v>182</v>
      </c>
      <c r="E21">
        <f>D21+$V$2</f>
        <v>201</v>
      </c>
      <c r="F21">
        <f>E21+$W$2</f>
        <v>202</v>
      </c>
    </row>
    <row r="22" spans="1:6" x14ac:dyDescent="0.2">
      <c r="A22" t="s">
        <v>35</v>
      </c>
      <c r="C22">
        <f>F21</f>
        <v>202</v>
      </c>
      <c r="D22">
        <f>C22+$H$2</f>
        <v>203</v>
      </c>
      <c r="E22">
        <f>D22+$I$2</f>
        <v>204</v>
      </c>
      <c r="F22">
        <f>E22+$J$2</f>
        <v>205</v>
      </c>
    </row>
    <row r="23" spans="1:6" x14ac:dyDescent="0.2">
      <c r="A23" t="s">
        <v>36</v>
      </c>
      <c r="C23">
        <f>F22</f>
        <v>205</v>
      </c>
      <c r="D23">
        <f>C23+$L$2</f>
        <v>206</v>
      </c>
      <c r="E23">
        <f>D23+$M$2</f>
        <v>207</v>
      </c>
      <c r="F23">
        <f>E23+$N$2</f>
        <v>208</v>
      </c>
    </row>
    <row r="24" spans="1:6" x14ac:dyDescent="0.2">
      <c r="A24" t="s">
        <v>23</v>
      </c>
      <c r="D24">
        <f>F23</f>
        <v>208</v>
      </c>
      <c r="E24">
        <f>D24+7</f>
        <v>215</v>
      </c>
      <c r="F24">
        <f>E24+1</f>
        <v>216</v>
      </c>
    </row>
    <row r="25" spans="1:6" x14ac:dyDescent="0.2">
      <c r="A25" t="s">
        <v>46</v>
      </c>
      <c r="B25">
        <f>B8+8</f>
        <v>32</v>
      </c>
      <c r="C25">
        <f t="shared" ref="C25:C26" si="4">B25+$P$2</f>
        <v>34</v>
      </c>
      <c r="D25">
        <f t="shared" ref="D25:D26" si="5">C25+$Q$2</f>
        <v>42</v>
      </c>
      <c r="E25">
        <f t="shared" ref="E25:E26" si="6">D25+$R$2</f>
        <v>44</v>
      </c>
      <c r="F25">
        <f t="shared" ref="F25:F26" si="7">E25+$S$2</f>
        <v>48</v>
      </c>
    </row>
    <row r="26" spans="1:6" x14ac:dyDescent="0.2">
      <c r="A26" t="s">
        <v>37</v>
      </c>
      <c r="B26">
        <f>B25+8</f>
        <v>40</v>
      </c>
      <c r="C26">
        <f t="shared" si="4"/>
        <v>42</v>
      </c>
      <c r="D26">
        <f t="shared" si="5"/>
        <v>50</v>
      </c>
      <c r="E26">
        <f t="shared" si="6"/>
        <v>52</v>
      </c>
      <c r="F26">
        <f t="shared" si="7"/>
        <v>56</v>
      </c>
    </row>
    <row r="27" spans="1:6" x14ac:dyDescent="0.2">
      <c r="A27" t="s">
        <v>54</v>
      </c>
      <c r="B27">
        <f>B26+8</f>
        <v>48</v>
      </c>
      <c r="C27">
        <f>B27+$P$2</f>
        <v>50</v>
      </c>
      <c r="D27">
        <f>C27+$Q$2</f>
        <v>58</v>
      </c>
      <c r="E27">
        <f>D27+$R$2</f>
        <v>60</v>
      </c>
      <c r="F27">
        <f>E27+$S$2</f>
        <v>64</v>
      </c>
    </row>
    <row r="28" spans="1:6" x14ac:dyDescent="0.2">
      <c r="A28" t="s">
        <v>52</v>
      </c>
      <c r="B28">
        <f>D27-2</f>
        <v>56</v>
      </c>
      <c r="C28">
        <f>B28+$P$2</f>
        <v>58</v>
      </c>
      <c r="D28">
        <f>C28+$Q$2</f>
        <v>66</v>
      </c>
      <c r="E28">
        <f>D28+$R$2</f>
        <v>68</v>
      </c>
      <c r="F28">
        <f>E28+$S$2</f>
        <v>72</v>
      </c>
    </row>
    <row r="29" spans="1:6" x14ac:dyDescent="0.2">
      <c r="A29" t="s">
        <v>44</v>
      </c>
      <c r="B29">
        <f>D28-2</f>
        <v>64</v>
      </c>
      <c r="C29">
        <f>B29+$P$2</f>
        <v>66</v>
      </c>
      <c r="D29">
        <f>C29+$Q$2</f>
        <v>74</v>
      </c>
      <c r="E29">
        <f>D29+$R$2</f>
        <v>76</v>
      </c>
      <c r="F29">
        <f>E29+$S$2</f>
        <v>80</v>
      </c>
    </row>
    <row r="30" spans="1:6" x14ac:dyDescent="0.2">
      <c r="A30" t="s">
        <v>48</v>
      </c>
      <c r="B30">
        <f>B12+8</f>
        <v>80</v>
      </c>
      <c r="C30">
        <f>B30+$P$2</f>
        <v>82</v>
      </c>
      <c r="D30">
        <f>C30+$Q$2</f>
        <v>90</v>
      </c>
      <c r="E30">
        <f>D30+$R$2</f>
        <v>92</v>
      </c>
      <c r="F30">
        <f>E30+$S$2</f>
        <v>96</v>
      </c>
    </row>
    <row r="31" spans="1:6" x14ac:dyDescent="0.2">
      <c r="A31" t="s">
        <v>49</v>
      </c>
      <c r="B31">
        <f>B30+8</f>
        <v>88</v>
      </c>
      <c r="C31">
        <f>B31+$P$2</f>
        <v>90</v>
      </c>
      <c r="D31">
        <f>C31+$Q$2</f>
        <v>98</v>
      </c>
      <c r="E31">
        <f>D31+$R$2</f>
        <v>100</v>
      </c>
      <c r="F31">
        <f>E31+$S$2</f>
        <v>104</v>
      </c>
    </row>
    <row r="32" spans="1:6" x14ac:dyDescent="0.2">
      <c r="A32" t="s">
        <v>38</v>
      </c>
      <c r="B32">
        <f>B31+8</f>
        <v>96</v>
      </c>
      <c r="C32">
        <f>B32+$Y$2</f>
        <v>98</v>
      </c>
      <c r="D32">
        <f>C32+$Z$2</f>
        <v>121</v>
      </c>
      <c r="E32">
        <f>D32+$AA$2</f>
        <v>108</v>
      </c>
      <c r="F32">
        <f>E32+$AB$2</f>
        <v>124</v>
      </c>
    </row>
    <row r="33" spans="1:6" x14ac:dyDescent="0.2">
      <c r="A33" t="s">
        <v>43</v>
      </c>
      <c r="B33">
        <f>D16-2</f>
        <v>127</v>
      </c>
      <c r="C33">
        <f>B33+$Y$2</f>
        <v>129</v>
      </c>
      <c r="D33">
        <f>C33+$Z$2</f>
        <v>152</v>
      </c>
      <c r="E33">
        <f>D33+$AA$2</f>
        <v>139</v>
      </c>
      <c r="F33">
        <f>E33+$AB$2</f>
        <v>155</v>
      </c>
    </row>
    <row r="34" spans="1:6" x14ac:dyDescent="0.2">
      <c r="A34" t="s">
        <v>41</v>
      </c>
      <c r="B34">
        <f>D33-2</f>
        <v>150</v>
      </c>
      <c r="C34">
        <f>B34+$P$2</f>
        <v>152</v>
      </c>
      <c r="D34">
        <f>C34+$Q$2</f>
        <v>160</v>
      </c>
      <c r="E34">
        <f>D34+$R$2</f>
        <v>162</v>
      </c>
      <c r="F34">
        <f>E34+$S$2</f>
        <v>166</v>
      </c>
    </row>
    <row r="35" spans="1:6" x14ac:dyDescent="0.2">
      <c r="A35" t="s">
        <v>42</v>
      </c>
      <c r="B35">
        <f>B34+8</f>
        <v>158</v>
      </c>
      <c r="C35">
        <f>B35+$P$2</f>
        <v>160</v>
      </c>
      <c r="D35">
        <f>C35+$Q$2</f>
        <v>168</v>
      </c>
      <c r="E35">
        <f>D35+$R$2</f>
        <v>170</v>
      </c>
      <c r="F35">
        <f>E35+$S$2</f>
        <v>174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5722B-E97D-444F-8BBA-4F33D9EFBAF8}">
  <dimension ref="A1:AB34"/>
  <sheetViews>
    <sheetView workbookViewId="0">
      <selection activeCell="B1" sqref="B1"/>
    </sheetView>
  </sheetViews>
  <sheetFormatPr defaultRowHeight="14.25" x14ac:dyDescent="0.2"/>
  <cols>
    <col min="1" max="1" width="21.5" customWidth="1"/>
    <col min="3" max="3" width="10.625" customWidth="1"/>
  </cols>
  <sheetData>
    <row r="1" spans="1:28" x14ac:dyDescent="0.2">
      <c r="A1" t="s">
        <v>0</v>
      </c>
      <c r="B1" t="s">
        <v>55</v>
      </c>
      <c r="H1" t="s">
        <v>17</v>
      </c>
      <c r="I1" t="s">
        <v>18</v>
      </c>
      <c r="J1" t="s">
        <v>19</v>
      </c>
      <c r="L1" t="s">
        <v>20</v>
      </c>
      <c r="M1" t="s">
        <v>21</v>
      </c>
      <c r="N1" t="s">
        <v>22</v>
      </c>
      <c r="P1" t="s">
        <v>24</v>
      </c>
      <c r="Q1" t="s">
        <v>11</v>
      </c>
      <c r="R1" t="s">
        <v>12</v>
      </c>
      <c r="S1" t="s">
        <v>13</v>
      </c>
      <c r="U1" t="s">
        <v>14</v>
      </c>
      <c r="V1" t="s">
        <v>16</v>
      </c>
      <c r="W1" t="s">
        <v>15</v>
      </c>
      <c r="Y1" t="s">
        <v>24</v>
      </c>
      <c r="Z1" t="s">
        <v>25</v>
      </c>
      <c r="AA1" t="s">
        <v>26</v>
      </c>
      <c r="AB1" t="s">
        <v>27</v>
      </c>
    </row>
    <row r="2" spans="1:28" x14ac:dyDescent="0.2">
      <c r="A2" t="s">
        <v>1</v>
      </c>
      <c r="B2" t="s">
        <v>2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8</v>
      </c>
      <c r="R2">
        <v>2</v>
      </c>
      <c r="S2">
        <v>4</v>
      </c>
      <c r="U2">
        <v>4</v>
      </c>
      <c r="V2">
        <v>19</v>
      </c>
      <c r="W2">
        <v>1</v>
      </c>
      <c r="Y2">
        <v>2</v>
      </c>
      <c r="Z2">
        <v>23</v>
      </c>
      <c r="AA2">
        <v>-13</v>
      </c>
      <c r="AB2">
        <v>16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31</v>
      </c>
      <c r="B5">
        <v>-24</v>
      </c>
      <c r="C5">
        <f>B5+$P$2</f>
        <v>-22</v>
      </c>
      <c r="D5">
        <f>C5+$Q$2</f>
        <v>-14</v>
      </c>
      <c r="E5">
        <f>D5+$R$2</f>
        <v>-12</v>
      </c>
      <c r="F5">
        <f>E5+$S$2</f>
        <v>-8</v>
      </c>
    </row>
    <row r="6" spans="1:28" x14ac:dyDescent="0.2">
      <c r="A6" t="s">
        <v>32</v>
      </c>
      <c r="B6">
        <f>B5+8</f>
        <v>-16</v>
      </c>
      <c r="C6">
        <f t="shared" ref="C6:C8" si="0">B6+$P$2</f>
        <v>-14</v>
      </c>
      <c r="D6">
        <f t="shared" ref="D6:D8" si="1">C6+$Q$2</f>
        <v>-6</v>
      </c>
      <c r="E6">
        <f t="shared" ref="E6:E8" si="2">D6+$R$2</f>
        <v>-4</v>
      </c>
      <c r="F6">
        <f t="shared" ref="F6:F8" si="3">E6+$S$2</f>
        <v>0</v>
      </c>
    </row>
    <row r="7" spans="1:28" x14ac:dyDescent="0.2">
      <c r="A7" t="s">
        <v>56</v>
      </c>
      <c r="B7">
        <f>B6+8</f>
        <v>-8</v>
      </c>
      <c r="C7">
        <f>B7+$P$2</f>
        <v>-6</v>
      </c>
      <c r="D7">
        <f>C7+$Q$2</f>
        <v>2</v>
      </c>
      <c r="E7">
        <f>D7+$R$2</f>
        <v>4</v>
      </c>
      <c r="F7">
        <f>E7+$S$2</f>
        <v>8</v>
      </c>
    </row>
    <row r="8" spans="1:28" x14ac:dyDescent="0.2">
      <c r="A8" t="s">
        <v>33</v>
      </c>
      <c r="B8">
        <v>0</v>
      </c>
      <c r="C8">
        <f t="shared" si="0"/>
        <v>2</v>
      </c>
      <c r="D8">
        <f t="shared" si="1"/>
        <v>10</v>
      </c>
      <c r="E8">
        <f t="shared" si="2"/>
        <v>12</v>
      </c>
      <c r="F8">
        <f t="shared" si="3"/>
        <v>16</v>
      </c>
    </row>
    <row r="9" spans="1:28" x14ac:dyDescent="0.2">
      <c r="A9" t="s">
        <v>51</v>
      </c>
      <c r="C9">
        <f>E8</f>
        <v>12</v>
      </c>
      <c r="D9">
        <f>C9+$U$2</f>
        <v>16</v>
      </c>
      <c r="E9">
        <f>D9+$V$2</f>
        <v>35</v>
      </c>
      <c r="F9">
        <f>E9+$W$2</f>
        <v>36</v>
      </c>
    </row>
    <row r="10" spans="1:28" x14ac:dyDescent="0.2">
      <c r="A10" t="s">
        <v>35</v>
      </c>
      <c r="C10">
        <f>F9</f>
        <v>36</v>
      </c>
      <c r="D10">
        <f>C10+$H$2</f>
        <v>37</v>
      </c>
      <c r="E10">
        <f>D10+$I$2</f>
        <v>38</v>
      </c>
      <c r="F10">
        <f>E10+$J$2</f>
        <v>39</v>
      </c>
    </row>
    <row r="11" spans="1:28" x14ac:dyDescent="0.2">
      <c r="A11" t="s">
        <v>36</v>
      </c>
      <c r="C11">
        <f>F10</f>
        <v>39</v>
      </c>
      <c r="D11">
        <f>C11+$L$2</f>
        <v>40</v>
      </c>
      <c r="E11">
        <f>D11+$M$2</f>
        <v>41</v>
      </c>
      <c r="F11">
        <f>E11+$N$2</f>
        <v>42</v>
      </c>
    </row>
    <row r="12" spans="1:28" x14ac:dyDescent="0.2">
      <c r="A12" t="s">
        <v>47</v>
      </c>
      <c r="B12">
        <f>D28-2</f>
        <v>48</v>
      </c>
      <c r="C12">
        <f>B12+$P$2</f>
        <v>50</v>
      </c>
      <c r="D12">
        <f>C12+$Q$2</f>
        <v>58</v>
      </c>
      <c r="E12">
        <f>D12+$R$2</f>
        <v>60</v>
      </c>
      <c r="F12">
        <f>E12+$S$2</f>
        <v>64</v>
      </c>
    </row>
    <row r="13" spans="1:28" x14ac:dyDescent="0.2">
      <c r="A13" t="s">
        <v>51</v>
      </c>
      <c r="C13">
        <f>E12</f>
        <v>60</v>
      </c>
      <c r="D13">
        <f>C13+$U$2</f>
        <v>64</v>
      </c>
      <c r="E13">
        <f>D13+$V$2</f>
        <v>83</v>
      </c>
      <c r="F13">
        <f>E13+$W$2</f>
        <v>84</v>
      </c>
    </row>
    <row r="14" spans="1:28" x14ac:dyDescent="0.2">
      <c r="A14" t="s">
        <v>35</v>
      </c>
      <c r="C14">
        <f>F13</f>
        <v>84</v>
      </c>
      <c r="D14">
        <f>C14+$H$2</f>
        <v>85</v>
      </c>
      <c r="E14">
        <f>D14+$I$2</f>
        <v>86</v>
      </c>
      <c r="F14">
        <f>E14+$J$2</f>
        <v>87</v>
      </c>
    </row>
    <row r="15" spans="1:28" x14ac:dyDescent="0.2">
      <c r="A15" t="s">
        <v>36</v>
      </c>
      <c r="C15">
        <f>F14</f>
        <v>87</v>
      </c>
      <c r="D15">
        <f>C15+$L$2</f>
        <v>88</v>
      </c>
      <c r="E15">
        <f>D15+$M$2</f>
        <v>89</v>
      </c>
      <c r="F15">
        <f>E15+$N$2</f>
        <v>90</v>
      </c>
    </row>
    <row r="16" spans="1:28" x14ac:dyDescent="0.2">
      <c r="A16" t="s">
        <v>40</v>
      </c>
      <c r="B16">
        <f>D31-2</f>
        <v>95</v>
      </c>
      <c r="C16">
        <f>B16+$P$2</f>
        <v>97</v>
      </c>
      <c r="D16">
        <f>C16+$Q$2</f>
        <v>105</v>
      </c>
      <c r="E16">
        <f>D16+$R$2</f>
        <v>107</v>
      </c>
      <c r="F16">
        <f>E16+$S$2</f>
        <v>111</v>
      </c>
    </row>
    <row r="17" spans="1:6" x14ac:dyDescent="0.2">
      <c r="A17" t="s">
        <v>39</v>
      </c>
      <c r="C17">
        <f>E16</f>
        <v>107</v>
      </c>
      <c r="D17">
        <f>C17+$U$2</f>
        <v>111</v>
      </c>
      <c r="E17">
        <f>D17+$V$2</f>
        <v>130</v>
      </c>
      <c r="F17">
        <f>E17+$W$2</f>
        <v>131</v>
      </c>
    </row>
    <row r="18" spans="1:6" x14ac:dyDescent="0.2">
      <c r="A18" t="s">
        <v>35</v>
      </c>
      <c r="C18">
        <f>F17</f>
        <v>131</v>
      </c>
      <c r="D18">
        <f>C18+$H$2</f>
        <v>132</v>
      </c>
      <c r="E18">
        <f>D18+$I$2</f>
        <v>133</v>
      </c>
      <c r="F18">
        <f>E18+$J$2</f>
        <v>134</v>
      </c>
    </row>
    <row r="19" spans="1:6" x14ac:dyDescent="0.2">
      <c r="A19" t="s">
        <v>36</v>
      </c>
      <c r="C19">
        <f>F18</f>
        <v>134</v>
      </c>
      <c r="D19">
        <f>C19+$L$2</f>
        <v>135</v>
      </c>
      <c r="E19">
        <f>D19+$M$2</f>
        <v>136</v>
      </c>
      <c r="F19">
        <f>E19+$N$2</f>
        <v>137</v>
      </c>
    </row>
    <row r="20" spans="1:6" x14ac:dyDescent="0.2">
      <c r="A20" t="s">
        <v>45</v>
      </c>
      <c r="B20">
        <f>D34-2</f>
        <v>142</v>
      </c>
      <c r="C20">
        <f>B20+$P$2</f>
        <v>144</v>
      </c>
      <c r="D20">
        <f>C20+$Q$2</f>
        <v>152</v>
      </c>
      <c r="E20">
        <f>D20+$R$2</f>
        <v>154</v>
      </c>
      <c r="F20">
        <f>E20+$S$2</f>
        <v>158</v>
      </c>
    </row>
    <row r="21" spans="1:6" x14ac:dyDescent="0.2">
      <c r="A21" t="s">
        <v>34</v>
      </c>
      <c r="C21">
        <f>E20</f>
        <v>154</v>
      </c>
      <c r="D21">
        <f>C21+$U$2</f>
        <v>158</v>
      </c>
      <c r="E21">
        <f>D21+$V$2</f>
        <v>177</v>
      </c>
      <c r="F21">
        <f>E21+$W$2</f>
        <v>178</v>
      </c>
    </row>
    <row r="22" spans="1:6" x14ac:dyDescent="0.2">
      <c r="A22" t="s">
        <v>35</v>
      </c>
      <c r="C22">
        <f>F21</f>
        <v>178</v>
      </c>
      <c r="D22">
        <f>C22+$H$2</f>
        <v>179</v>
      </c>
      <c r="E22">
        <f>D22+$I$2</f>
        <v>180</v>
      </c>
      <c r="F22">
        <f>E22+$J$2</f>
        <v>181</v>
      </c>
    </row>
    <row r="23" spans="1:6" x14ac:dyDescent="0.2">
      <c r="A23" t="s">
        <v>36</v>
      </c>
      <c r="C23">
        <f>F22</f>
        <v>181</v>
      </c>
      <c r="D23">
        <f>C23+$L$2</f>
        <v>182</v>
      </c>
      <c r="E23">
        <f>D23+$M$2</f>
        <v>183</v>
      </c>
      <c r="F23">
        <f>E23+$N$2</f>
        <v>184</v>
      </c>
    </row>
    <row r="24" spans="1:6" x14ac:dyDescent="0.2">
      <c r="A24" t="s">
        <v>46</v>
      </c>
      <c r="B24">
        <f>D8-2</f>
        <v>8</v>
      </c>
      <c r="C24">
        <f t="shared" ref="C24:C25" si="4">B24+$P$2</f>
        <v>10</v>
      </c>
      <c r="D24">
        <f t="shared" ref="D24:D25" si="5">C24+$Q$2</f>
        <v>18</v>
      </c>
      <c r="E24">
        <f t="shared" ref="E24:E25" si="6">D24+$R$2</f>
        <v>20</v>
      </c>
      <c r="F24">
        <f t="shared" ref="F24:F25" si="7">E24+$S$2</f>
        <v>24</v>
      </c>
    </row>
    <row r="25" spans="1:6" x14ac:dyDescent="0.2">
      <c r="A25" t="s">
        <v>37</v>
      </c>
      <c r="B25">
        <f>B24+8</f>
        <v>16</v>
      </c>
      <c r="C25">
        <f t="shared" si="4"/>
        <v>18</v>
      </c>
      <c r="D25">
        <f t="shared" si="5"/>
        <v>26</v>
      </c>
      <c r="E25">
        <f t="shared" si="6"/>
        <v>28</v>
      </c>
      <c r="F25">
        <f t="shared" si="7"/>
        <v>32</v>
      </c>
    </row>
    <row r="26" spans="1:6" x14ac:dyDescent="0.2">
      <c r="A26" t="s">
        <v>50</v>
      </c>
      <c r="B26">
        <f>B25+8</f>
        <v>24</v>
      </c>
      <c r="C26">
        <f>B26+$P$2</f>
        <v>26</v>
      </c>
      <c r="D26">
        <f>C26+$Q$2</f>
        <v>34</v>
      </c>
      <c r="E26">
        <f>D26+$R$2</f>
        <v>36</v>
      </c>
      <c r="F26">
        <f>E26+$S$2</f>
        <v>40</v>
      </c>
    </row>
    <row r="27" spans="1:6" x14ac:dyDescent="0.2">
      <c r="A27" t="s">
        <v>52</v>
      </c>
      <c r="B27">
        <f>D26-2</f>
        <v>32</v>
      </c>
      <c r="C27">
        <f>B27+$P$2</f>
        <v>34</v>
      </c>
      <c r="D27">
        <f>C27+$Q$2</f>
        <v>42</v>
      </c>
      <c r="E27">
        <f>D27+$R$2</f>
        <v>44</v>
      </c>
      <c r="F27">
        <f>E27+$S$2</f>
        <v>48</v>
      </c>
    </row>
    <row r="28" spans="1:6" x14ac:dyDescent="0.2">
      <c r="A28" t="s">
        <v>44</v>
      </c>
      <c r="B28">
        <f>D27-2</f>
        <v>40</v>
      </c>
      <c r="C28">
        <f>B28+$P$2</f>
        <v>42</v>
      </c>
      <c r="D28">
        <f>C28+$Q$2</f>
        <v>50</v>
      </c>
      <c r="E28">
        <f>D28+$R$2</f>
        <v>52</v>
      </c>
      <c r="F28">
        <f>E28+$S$2</f>
        <v>56</v>
      </c>
    </row>
    <row r="29" spans="1:6" x14ac:dyDescent="0.2">
      <c r="A29" t="s">
        <v>48</v>
      </c>
      <c r="B29">
        <f>B12+8</f>
        <v>56</v>
      </c>
      <c r="C29">
        <f>B29+$P$2</f>
        <v>58</v>
      </c>
      <c r="D29">
        <f>C29+$Q$2</f>
        <v>66</v>
      </c>
      <c r="E29">
        <f>D29+$R$2</f>
        <v>68</v>
      </c>
      <c r="F29">
        <f>E29+$S$2</f>
        <v>72</v>
      </c>
    </row>
    <row r="30" spans="1:6" x14ac:dyDescent="0.2">
      <c r="A30" t="s">
        <v>49</v>
      </c>
      <c r="B30">
        <f>B29+8</f>
        <v>64</v>
      </c>
      <c r="C30">
        <f>B30+$P$2</f>
        <v>66</v>
      </c>
      <c r="D30">
        <f>C30+$Q$2</f>
        <v>74</v>
      </c>
      <c r="E30">
        <f>D30+$R$2</f>
        <v>76</v>
      </c>
      <c r="F30">
        <f>E30+$S$2</f>
        <v>80</v>
      </c>
    </row>
    <row r="31" spans="1:6" x14ac:dyDescent="0.2">
      <c r="A31" t="s">
        <v>57</v>
      </c>
      <c r="B31">
        <f>B30+8</f>
        <v>72</v>
      </c>
      <c r="C31">
        <f>B31+$Y$2</f>
        <v>74</v>
      </c>
      <c r="D31">
        <f>C31+$Z$2</f>
        <v>97</v>
      </c>
      <c r="E31">
        <f>D31+$AA$2</f>
        <v>84</v>
      </c>
      <c r="F31">
        <f>E31+$AB$2</f>
        <v>100</v>
      </c>
    </row>
    <row r="32" spans="1:6" x14ac:dyDescent="0.2">
      <c r="A32" t="s">
        <v>41</v>
      </c>
      <c r="B32">
        <f>D16-2</f>
        <v>103</v>
      </c>
      <c r="C32">
        <f>B32+$P$2</f>
        <v>105</v>
      </c>
      <c r="D32">
        <f>C32+$Q$2</f>
        <v>113</v>
      </c>
      <c r="E32">
        <f>D32+$R$2</f>
        <v>115</v>
      </c>
      <c r="F32">
        <f>E32+$S$2</f>
        <v>119</v>
      </c>
    </row>
    <row r="33" spans="1:6" x14ac:dyDescent="0.2">
      <c r="A33" t="s">
        <v>42</v>
      </c>
      <c r="B33">
        <f>B32+8</f>
        <v>111</v>
      </c>
      <c r="C33">
        <f>B33+$P$2</f>
        <v>113</v>
      </c>
      <c r="D33">
        <f>C33+$Q$2</f>
        <v>121</v>
      </c>
      <c r="E33">
        <f>D33+$R$2</f>
        <v>123</v>
      </c>
      <c r="F33">
        <f>E33+$S$2</f>
        <v>127</v>
      </c>
    </row>
    <row r="34" spans="1:6" x14ac:dyDescent="0.2">
      <c r="A34" t="s">
        <v>58</v>
      </c>
      <c r="B34">
        <f>D33-2</f>
        <v>119</v>
      </c>
      <c r="C34">
        <f>B34+$Y$2</f>
        <v>121</v>
      </c>
      <c r="D34">
        <f>C34+$Z$2</f>
        <v>144</v>
      </c>
      <c r="E34">
        <f>D34+$AA$2</f>
        <v>131</v>
      </c>
      <c r="F34">
        <f>E34+$AB$2</f>
        <v>147</v>
      </c>
    </row>
  </sheetData>
  <sheetProtection sheet="1" objects="1" scenarios="1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5626-4856-4809-BCBC-22045DDF3972}">
  <dimension ref="A1:AB35"/>
  <sheetViews>
    <sheetView workbookViewId="0">
      <selection activeCell="C37" sqref="C37"/>
    </sheetView>
  </sheetViews>
  <sheetFormatPr defaultRowHeight="14.25" x14ac:dyDescent="0.2"/>
  <cols>
    <col min="1" max="1" width="21.5" customWidth="1"/>
    <col min="3" max="3" width="10.625" customWidth="1"/>
    <col min="5" max="5" width="12.75" customWidth="1"/>
  </cols>
  <sheetData>
    <row r="1" spans="1:28" x14ac:dyDescent="0.2">
      <c r="A1" t="s">
        <v>0</v>
      </c>
      <c r="B1" t="s">
        <v>192</v>
      </c>
      <c r="H1" t="s">
        <v>17</v>
      </c>
      <c r="I1" t="s">
        <v>18</v>
      </c>
      <c r="J1" t="s">
        <v>19</v>
      </c>
      <c r="L1" t="s">
        <v>20</v>
      </c>
      <c r="M1" t="s">
        <v>21</v>
      </c>
      <c r="N1" t="s">
        <v>22</v>
      </c>
      <c r="P1" t="s">
        <v>24</v>
      </c>
      <c r="Q1" t="s">
        <v>142</v>
      </c>
      <c r="R1" t="s">
        <v>143</v>
      </c>
      <c r="S1" t="s">
        <v>144</v>
      </c>
      <c r="U1" t="s">
        <v>14</v>
      </c>
      <c r="V1" t="s">
        <v>16</v>
      </c>
      <c r="W1" t="s">
        <v>15</v>
      </c>
      <c r="Y1" t="s">
        <v>24</v>
      </c>
      <c r="Z1" t="s">
        <v>145</v>
      </c>
      <c r="AA1" t="s">
        <v>146</v>
      </c>
      <c r="AB1" t="s">
        <v>147</v>
      </c>
    </row>
    <row r="2" spans="1:28" x14ac:dyDescent="0.2">
      <c r="A2" t="s">
        <v>1</v>
      </c>
      <c r="B2" t="s">
        <v>2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8</v>
      </c>
      <c r="R2">
        <v>0</v>
      </c>
      <c r="S2">
        <v>4</v>
      </c>
      <c r="U2">
        <v>4</v>
      </c>
      <c r="V2">
        <v>14</v>
      </c>
      <c r="W2">
        <v>1</v>
      </c>
      <c r="Y2">
        <v>2</v>
      </c>
      <c r="Z2">
        <v>22</v>
      </c>
      <c r="AA2">
        <v>-14</v>
      </c>
      <c r="AB2">
        <v>16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148</v>
      </c>
      <c r="B5">
        <v>0</v>
      </c>
      <c r="C5">
        <f>B5+$P$2</f>
        <v>2</v>
      </c>
      <c r="D5">
        <f>C5+$Q$2</f>
        <v>10</v>
      </c>
      <c r="E5">
        <f>D5+$R$2</f>
        <v>10</v>
      </c>
      <c r="F5">
        <f>E5+$S$2</f>
        <v>14</v>
      </c>
    </row>
    <row r="6" spans="1:28" x14ac:dyDescent="0.2">
      <c r="A6" t="s">
        <v>149</v>
      </c>
      <c r="B6">
        <f>B5+8</f>
        <v>8</v>
      </c>
      <c r="C6">
        <f t="shared" ref="C6:C8" si="0">B6+$P$2</f>
        <v>10</v>
      </c>
      <c r="D6">
        <f t="shared" ref="D6:D8" si="1">C6+$Q$2</f>
        <v>18</v>
      </c>
      <c r="E6">
        <f t="shared" ref="E6:E8" si="2">D6+$R$2</f>
        <v>18</v>
      </c>
      <c r="F6">
        <f t="shared" ref="F6:F8" si="3">E6+$S$2</f>
        <v>22</v>
      </c>
    </row>
    <row r="7" spans="1:28" x14ac:dyDescent="0.2">
      <c r="A7" t="s">
        <v>150</v>
      </c>
      <c r="B7">
        <f>B6+8</f>
        <v>16</v>
      </c>
      <c r="C7">
        <f t="shared" si="0"/>
        <v>18</v>
      </c>
      <c r="D7">
        <f t="shared" si="1"/>
        <v>26</v>
      </c>
      <c r="E7">
        <f t="shared" si="2"/>
        <v>26</v>
      </c>
      <c r="F7">
        <f t="shared" si="3"/>
        <v>30</v>
      </c>
    </row>
    <row r="8" spans="1:28" x14ac:dyDescent="0.2">
      <c r="A8" t="s">
        <v>161</v>
      </c>
      <c r="B8">
        <f>B7+8</f>
        <v>24</v>
      </c>
      <c r="C8">
        <f t="shared" si="0"/>
        <v>26</v>
      </c>
      <c r="D8">
        <f t="shared" si="1"/>
        <v>34</v>
      </c>
      <c r="E8">
        <f t="shared" si="2"/>
        <v>34</v>
      </c>
      <c r="F8">
        <f t="shared" si="3"/>
        <v>38</v>
      </c>
    </row>
    <row r="9" spans="1:28" x14ac:dyDescent="0.2">
      <c r="A9" t="s">
        <v>162</v>
      </c>
      <c r="C9">
        <f>E8</f>
        <v>34</v>
      </c>
      <c r="D9">
        <f>C9+$U$2</f>
        <v>38</v>
      </c>
      <c r="E9">
        <f>D9+$V$2</f>
        <v>52</v>
      </c>
      <c r="F9">
        <f>E9+$W$2</f>
        <v>53</v>
      </c>
    </row>
    <row r="10" spans="1:28" x14ac:dyDescent="0.2">
      <c r="A10" t="s">
        <v>166</v>
      </c>
      <c r="C10">
        <f>F9</f>
        <v>53</v>
      </c>
      <c r="D10">
        <f>C10+$H$2</f>
        <v>54</v>
      </c>
      <c r="E10">
        <f>D10+$I$2</f>
        <v>55</v>
      </c>
      <c r="F10">
        <f>E10+$J$2</f>
        <v>56</v>
      </c>
    </row>
    <row r="11" spans="1:28" x14ac:dyDescent="0.2">
      <c r="A11" t="s">
        <v>167</v>
      </c>
      <c r="C11">
        <f>F10</f>
        <v>56</v>
      </c>
      <c r="D11">
        <f>C11+$L$2</f>
        <v>57</v>
      </c>
      <c r="E11">
        <f>D11+$M$2</f>
        <v>58</v>
      </c>
      <c r="F11">
        <f>E11+$N$2</f>
        <v>59</v>
      </c>
    </row>
    <row r="12" spans="1:28" x14ac:dyDescent="0.2">
      <c r="A12" t="s">
        <v>151</v>
      </c>
      <c r="B12">
        <f>D29-2</f>
        <v>72</v>
      </c>
      <c r="C12">
        <f>B12+$P$2</f>
        <v>74</v>
      </c>
      <c r="D12">
        <f>C12+$Q$2</f>
        <v>82</v>
      </c>
      <c r="E12">
        <f>D12+$R$2</f>
        <v>82</v>
      </c>
      <c r="F12">
        <f>E12+$S$2</f>
        <v>86</v>
      </c>
    </row>
    <row r="13" spans="1:28" x14ac:dyDescent="0.2">
      <c r="A13" t="s">
        <v>152</v>
      </c>
      <c r="C13">
        <f>E12</f>
        <v>82</v>
      </c>
      <c r="D13">
        <f>C13+$U$2</f>
        <v>86</v>
      </c>
      <c r="E13">
        <f>D13+$V$2</f>
        <v>100</v>
      </c>
      <c r="F13">
        <f>E13+$W$2</f>
        <v>101</v>
      </c>
    </row>
    <row r="14" spans="1:28" x14ac:dyDescent="0.2">
      <c r="A14" t="s">
        <v>166</v>
      </c>
      <c r="C14">
        <f>F13</f>
        <v>101</v>
      </c>
      <c r="D14">
        <f>C14+$H$2</f>
        <v>102</v>
      </c>
      <c r="E14">
        <f>D14+$I$2</f>
        <v>103</v>
      </c>
      <c r="F14">
        <f>E14+$J$2</f>
        <v>104</v>
      </c>
    </row>
    <row r="15" spans="1:28" x14ac:dyDescent="0.2">
      <c r="A15" t="s">
        <v>167</v>
      </c>
      <c r="C15">
        <f>F14</f>
        <v>104</v>
      </c>
      <c r="D15">
        <f>C15+$L$2</f>
        <v>105</v>
      </c>
      <c r="E15">
        <f>D15+$M$2</f>
        <v>106</v>
      </c>
      <c r="F15">
        <f>E15+$N$2</f>
        <v>107</v>
      </c>
    </row>
    <row r="16" spans="1:28" x14ac:dyDescent="0.2">
      <c r="A16" t="s">
        <v>153</v>
      </c>
      <c r="B16">
        <f>D32-2</f>
        <v>118</v>
      </c>
      <c r="C16">
        <f>B16+$P$2</f>
        <v>120</v>
      </c>
      <c r="D16">
        <f>C16+$Q$2</f>
        <v>128</v>
      </c>
      <c r="E16">
        <f>D16+$R$2</f>
        <v>128</v>
      </c>
      <c r="F16">
        <f>E16+$S$2</f>
        <v>132</v>
      </c>
    </row>
    <row r="17" spans="1:6" x14ac:dyDescent="0.2">
      <c r="A17" t="s">
        <v>152</v>
      </c>
      <c r="C17">
        <f>E16</f>
        <v>128</v>
      </c>
      <c r="D17">
        <f>C17+$U$2</f>
        <v>132</v>
      </c>
      <c r="E17">
        <f>D17+$V$2</f>
        <v>146</v>
      </c>
      <c r="F17">
        <f>E17+$W$2</f>
        <v>147</v>
      </c>
    </row>
    <row r="18" spans="1:6" x14ac:dyDescent="0.2">
      <c r="A18" t="s">
        <v>166</v>
      </c>
      <c r="C18">
        <f>F17</f>
        <v>147</v>
      </c>
      <c r="D18">
        <f>C18+$H$2</f>
        <v>148</v>
      </c>
      <c r="E18">
        <f>D18+$I$2</f>
        <v>149</v>
      </c>
      <c r="F18">
        <f>E18+$J$2</f>
        <v>150</v>
      </c>
    </row>
    <row r="19" spans="1:6" x14ac:dyDescent="0.2">
      <c r="A19" t="s">
        <v>167</v>
      </c>
      <c r="C19">
        <f>F18</f>
        <v>150</v>
      </c>
      <c r="D19">
        <f>C19+$L$2</f>
        <v>151</v>
      </c>
      <c r="E19">
        <f>D19+$M$2</f>
        <v>152</v>
      </c>
      <c r="F19">
        <f>E19+$N$2</f>
        <v>153</v>
      </c>
    </row>
    <row r="20" spans="1:6" x14ac:dyDescent="0.2">
      <c r="A20" t="s">
        <v>154</v>
      </c>
      <c r="B20">
        <f>D35-2</f>
        <v>164</v>
      </c>
      <c r="C20">
        <f>B20+$P$2</f>
        <v>166</v>
      </c>
      <c r="D20">
        <f>C20+$Q$2</f>
        <v>174</v>
      </c>
      <c r="E20">
        <f>D20+$R$2</f>
        <v>174</v>
      </c>
      <c r="F20">
        <f>E20+$S$2</f>
        <v>178</v>
      </c>
    </row>
    <row r="21" spans="1:6" x14ac:dyDescent="0.2">
      <c r="A21" t="s">
        <v>162</v>
      </c>
      <c r="C21">
        <f>E20</f>
        <v>174</v>
      </c>
      <c r="D21">
        <f>C21+$U$2</f>
        <v>178</v>
      </c>
      <c r="E21">
        <f>D21+$V$2</f>
        <v>192</v>
      </c>
      <c r="F21">
        <f>E21+$W$2</f>
        <v>193</v>
      </c>
    </row>
    <row r="22" spans="1:6" x14ac:dyDescent="0.2">
      <c r="A22" t="s">
        <v>166</v>
      </c>
      <c r="C22">
        <f>F21</f>
        <v>193</v>
      </c>
      <c r="D22">
        <f>C22+$H$2</f>
        <v>194</v>
      </c>
      <c r="E22">
        <f>D22+$I$2</f>
        <v>195</v>
      </c>
      <c r="F22">
        <f>E22+$J$2</f>
        <v>196</v>
      </c>
    </row>
    <row r="23" spans="1:6" x14ac:dyDescent="0.2">
      <c r="A23" t="s">
        <v>167</v>
      </c>
      <c r="C23">
        <f>F22</f>
        <v>196</v>
      </c>
      <c r="D23">
        <f>C23+$L$2</f>
        <v>197</v>
      </c>
      <c r="E23">
        <f>D23+$M$2</f>
        <v>198</v>
      </c>
      <c r="F23">
        <f>E23+$N$2</f>
        <v>199</v>
      </c>
    </row>
    <row r="24" spans="1:6" x14ac:dyDescent="0.2">
      <c r="A24" t="s">
        <v>23</v>
      </c>
      <c r="D24">
        <f>F23</f>
        <v>199</v>
      </c>
      <c r="E24">
        <f>D24+7</f>
        <v>206</v>
      </c>
      <c r="F24">
        <f>E24+1</f>
        <v>207</v>
      </c>
    </row>
    <row r="25" spans="1:6" x14ac:dyDescent="0.2">
      <c r="A25" t="s">
        <v>155</v>
      </c>
      <c r="B25">
        <f>B8+8</f>
        <v>32</v>
      </c>
      <c r="C25">
        <f t="shared" ref="C25:C26" si="4">B25+$P$2</f>
        <v>34</v>
      </c>
      <c r="D25">
        <f t="shared" ref="D25:D26" si="5">C25+$Q$2</f>
        <v>42</v>
      </c>
      <c r="E25">
        <f t="shared" ref="E25:E26" si="6">D25+$R$2</f>
        <v>42</v>
      </c>
      <c r="F25">
        <f t="shared" ref="F25:F26" si="7">E25+$S$2</f>
        <v>46</v>
      </c>
    </row>
    <row r="26" spans="1:6" x14ac:dyDescent="0.2">
      <c r="A26" t="s">
        <v>156</v>
      </c>
      <c r="B26">
        <f>B25+8</f>
        <v>40</v>
      </c>
      <c r="C26">
        <f t="shared" si="4"/>
        <v>42</v>
      </c>
      <c r="D26">
        <f t="shared" si="5"/>
        <v>50</v>
      </c>
      <c r="E26">
        <f t="shared" si="6"/>
        <v>50</v>
      </c>
      <c r="F26">
        <f t="shared" si="7"/>
        <v>54</v>
      </c>
    </row>
    <row r="27" spans="1:6" x14ac:dyDescent="0.2">
      <c r="A27" t="s">
        <v>163</v>
      </c>
      <c r="B27">
        <f>B26+8</f>
        <v>48</v>
      </c>
      <c r="C27">
        <f>B27+$P$2</f>
        <v>50</v>
      </c>
      <c r="D27">
        <f>C27+$Q$2</f>
        <v>58</v>
      </c>
      <c r="E27">
        <f>D27+$R$2</f>
        <v>58</v>
      </c>
      <c r="F27">
        <f>E27+$S$2</f>
        <v>62</v>
      </c>
    </row>
    <row r="28" spans="1:6" x14ac:dyDescent="0.2">
      <c r="A28" t="s">
        <v>164</v>
      </c>
      <c r="B28">
        <f>D27-2</f>
        <v>56</v>
      </c>
      <c r="C28">
        <f>B28+$P$2</f>
        <v>58</v>
      </c>
      <c r="D28">
        <f>C28+$Q$2</f>
        <v>66</v>
      </c>
      <c r="E28">
        <f>D28+$R$2</f>
        <v>66</v>
      </c>
      <c r="F28">
        <f>E28+$S$2</f>
        <v>70</v>
      </c>
    </row>
    <row r="29" spans="1:6" x14ac:dyDescent="0.2">
      <c r="A29" t="s">
        <v>165</v>
      </c>
      <c r="B29">
        <f>D28-2</f>
        <v>64</v>
      </c>
      <c r="C29">
        <f>B29+$P$2</f>
        <v>66</v>
      </c>
      <c r="D29">
        <f>C29+$Q$2</f>
        <v>74</v>
      </c>
      <c r="E29">
        <f>D29+$R$2</f>
        <v>74</v>
      </c>
      <c r="F29">
        <f>E29+$S$2</f>
        <v>78</v>
      </c>
    </row>
    <row r="30" spans="1:6" x14ac:dyDescent="0.2">
      <c r="A30" t="s">
        <v>157</v>
      </c>
      <c r="B30">
        <f>B12+8</f>
        <v>80</v>
      </c>
      <c r="C30">
        <f>B30+$P$2</f>
        <v>82</v>
      </c>
      <c r="D30">
        <f>C30+$Q$2</f>
        <v>90</v>
      </c>
      <c r="E30">
        <f>D30+$R$2</f>
        <v>90</v>
      </c>
      <c r="F30">
        <f>E30+$S$2</f>
        <v>94</v>
      </c>
    </row>
    <row r="31" spans="1:6" x14ac:dyDescent="0.2">
      <c r="A31" t="s">
        <v>158</v>
      </c>
      <c r="B31">
        <f>B30+8</f>
        <v>88</v>
      </c>
      <c r="C31">
        <f>B31+$P$2</f>
        <v>90</v>
      </c>
      <c r="D31">
        <f>C31+$Q$2</f>
        <v>98</v>
      </c>
      <c r="E31">
        <f>D31+$R$2</f>
        <v>98</v>
      </c>
      <c r="F31">
        <f>E31+$S$2</f>
        <v>102</v>
      </c>
    </row>
    <row r="32" spans="1:6" x14ac:dyDescent="0.2">
      <c r="A32" t="s">
        <v>168</v>
      </c>
      <c r="B32">
        <f>B31+8</f>
        <v>96</v>
      </c>
      <c r="C32">
        <f>B32+$Y$2</f>
        <v>98</v>
      </c>
      <c r="D32">
        <f>C32+$Z$2</f>
        <v>120</v>
      </c>
      <c r="E32">
        <f>D32+$AA$2</f>
        <v>106</v>
      </c>
      <c r="F32">
        <f>E32+$AB$2</f>
        <v>122</v>
      </c>
    </row>
    <row r="33" spans="1:6" x14ac:dyDescent="0.2">
      <c r="A33" t="s">
        <v>169</v>
      </c>
      <c r="B33">
        <f>D16-2</f>
        <v>126</v>
      </c>
      <c r="C33">
        <f>B33+$Y$2</f>
        <v>128</v>
      </c>
      <c r="D33">
        <f>C33+$Z$2</f>
        <v>150</v>
      </c>
      <c r="E33">
        <f>D33+$AA$2</f>
        <v>136</v>
      </c>
      <c r="F33">
        <f>E33+$AB$2</f>
        <v>152</v>
      </c>
    </row>
    <row r="34" spans="1:6" x14ac:dyDescent="0.2">
      <c r="A34" t="s">
        <v>159</v>
      </c>
      <c r="B34">
        <f>D33-2</f>
        <v>148</v>
      </c>
      <c r="C34">
        <f>B34+$P$2</f>
        <v>150</v>
      </c>
      <c r="D34">
        <f>C34+$Q$2</f>
        <v>158</v>
      </c>
      <c r="E34">
        <f>D34+$R$2</f>
        <v>158</v>
      </c>
      <c r="F34">
        <f>E34+$S$2</f>
        <v>162</v>
      </c>
    </row>
    <row r="35" spans="1:6" x14ac:dyDescent="0.2">
      <c r="A35" t="s">
        <v>160</v>
      </c>
      <c r="B35">
        <f>B34+8</f>
        <v>156</v>
      </c>
      <c r="C35">
        <f>B35+$P$2</f>
        <v>158</v>
      </c>
      <c r="D35">
        <f>C35+$Q$2</f>
        <v>166</v>
      </c>
      <c r="E35">
        <f>D35+$R$2</f>
        <v>166</v>
      </c>
      <c r="F35">
        <f>E35+$S$2</f>
        <v>170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C317A-AECA-4343-96E0-4ED212B0C2E5}">
  <dimension ref="A1:W19"/>
  <sheetViews>
    <sheetView workbookViewId="0">
      <selection activeCell="A15" sqref="A15"/>
    </sheetView>
  </sheetViews>
  <sheetFormatPr defaultRowHeight="14.25" x14ac:dyDescent="0.2"/>
  <cols>
    <col min="1" max="1" width="21.5" customWidth="1"/>
    <col min="7" max="7" width="10.5" customWidth="1"/>
    <col min="17" max="17" width="11.125" customWidth="1"/>
    <col min="18" max="18" width="7.5" customWidth="1"/>
  </cols>
  <sheetData>
    <row r="1" spans="1:23" x14ac:dyDescent="0.2">
      <c r="A1" t="s">
        <v>0</v>
      </c>
      <c r="B1" t="s">
        <v>191</v>
      </c>
      <c r="H1" t="s">
        <v>17</v>
      </c>
      <c r="I1" t="s">
        <v>18</v>
      </c>
      <c r="J1" t="s">
        <v>19</v>
      </c>
      <c r="L1" t="s">
        <v>20</v>
      </c>
      <c r="M1" t="s">
        <v>21</v>
      </c>
      <c r="N1" t="s">
        <v>22</v>
      </c>
      <c r="P1" t="s">
        <v>24</v>
      </c>
      <c r="Q1" t="s">
        <v>28</v>
      </c>
      <c r="R1" t="s">
        <v>29</v>
      </c>
      <c r="S1" t="s">
        <v>30</v>
      </c>
      <c r="U1" t="s">
        <v>14</v>
      </c>
      <c r="V1" t="s">
        <v>16</v>
      </c>
      <c r="W1" t="s">
        <v>15</v>
      </c>
    </row>
    <row r="2" spans="1:23" x14ac:dyDescent="0.2">
      <c r="A2" t="s">
        <v>1</v>
      </c>
      <c r="B2" t="s">
        <v>2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P2">
        <v>2</v>
      </c>
      <c r="Q2">
        <v>88</v>
      </c>
      <c r="R2">
        <v>-80</v>
      </c>
      <c r="S2">
        <v>88</v>
      </c>
      <c r="U2">
        <v>4</v>
      </c>
      <c r="V2">
        <v>19</v>
      </c>
      <c r="W2">
        <v>1</v>
      </c>
    </row>
    <row r="3" spans="1:23" x14ac:dyDescent="0.2">
      <c r="A3" t="s">
        <v>3</v>
      </c>
      <c r="B3" t="s">
        <v>4</v>
      </c>
      <c r="P3" t="s">
        <v>24</v>
      </c>
      <c r="Q3" t="s">
        <v>25</v>
      </c>
      <c r="R3" t="s">
        <v>26</v>
      </c>
      <c r="S3" t="s">
        <v>27</v>
      </c>
    </row>
    <row r="4" spans="1:23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P4">
        <v>2</v>
      </c>
      <c r="Q4">
        <v>44</v>
      </c>
      <c r="R4">
        <v>-36</v>
      </c>
      <c r="S4">
        <v>44</v>
      </c>
    </row>
    <row r="5" spans="1:23" x14ac:dyDescent="0.2">
      <c r="A5" t="s">
        <v>182</v>
      </c>
      <c r="B5">
        <v>0</v>
      </c>
      <c r="C5">
        <f>B5+$P$6</f>
        <v>2</v>
      </c>
      <c r="D5">
        <f>C5+$Q$6</f>
        <v>24</v>
      </c>
      <c r="E5">
        <f>D5+$R$6</f>
        <v>10</v>
      </c>
      <c r="F5">
        <f>E5+$S$6</f>
        <v>31</v>
      </c>
      <c r="P5" t="s">
        <v>24</v>
      </c>
      <c r="Q5" t="s">
        <v>11</v>
      </c>
      <c r="R5" t="s">
        <v>12</v>
      </c>
      <c r="S5" t="s">
        <v>13</v>
      </c>
    </row>
    <row r="6" spans="1:23" x14ac:dyDescent="0.2">
      <c r="A6" t="s">
        <v>183</v>
      </c>
      <c r="B6">
        <f t="shared" ref="B6:B18" si="0">D5-2</f>
        <v>22</v>
      </c>
      <c r="C6">
        <f>B6+$P$6</f>
        <v>24</v>
      </c>
      <c r="D6">
        <f>C6+$Q$6</f>
        <v>46</v>
      </c>
      <c r="E6">
        <f>D6+$R$6</f>
        <v>32</v>
      </c>
      <c r="F6">
        <f>E6+$S$6</f>
        <v>53</v>
      </c>
      <c r="P6">
        <v>2</v>
      </c>
      <c r="Q6">
        <v>22</v>
      </c>
      <c r="R6">
        <v>-14</v>
      </c>
      <c r="S6">
        <v>21</v>
      </c>
    </row>
    <row r="7" spans="1:23" x14ac:dyDescent="0.2">
      <c r="A7" t="s">
        <v>38</v>
      </c>
      <c r="B7">
        <f t="shared" si="0"/>
        <v>44</v>
      </c>
      <c r="C7">
        <f>B7+$P$4</f>
        <v>46</v>
      </c>
      <c r="D7">
        <f>C7+$Q$4</f>
        <v>90</v>
      </c>
      <c r="E7">
        <f>D7+$R$4</f>
        <v>54</v>
      </c>
      <c r="F7">
        <f>E7+$S$4</f>
        <v>98</v>
      </c>
    </row>
    <row r="8" spans="1:23" x14ac:dyDescent="0.2">
      <c r="A8" t="s">
        <v>184</v>
      </c>
      <c r="B8">
        <f t="shared" si="0"/>
        <v>88</v>
      </c>
      <c r="C8">
        <f>B8+$P$4</f>
        <v>90</v>
      </c>
      <c r="D8">
        <f>C8+$Q$4</f>
        <v>134</v>
      </c>
      <c r="E8">
        <f>D8+$R$4</f>
        <v>98</v>
      </c>
      <c r="F8">
        <f>E8+$S$4</f>
        <v>142</v>
      </c>
    </row>
    <row r="9" spans="1:23" x14ac:dyDescent="0.2">
      <c r="A9" t="s">
        <v>185</v>
      </c>
      <c r="B9">
        <v>200</v>
      </c>
      <c r="C9">
        <f>B9+$P$6</f>
        <v>202</v>
      </c>
      <c r="D9">
        <f>C9+$Q$6</f>
        <v>224</v>
      </c>
      <c r="E9">
        <f>D9+$R$6</f>
        <v>210</v>
      </c>
      <c r="F9">
        <f>E9+$S$6</f>
        <v>231</v>
      </c>
    </row>
    <row r="10" spans="1:23" x14ac:dyDescent="0.2">
      <c r="A10" t="s">
        <v>186</v>
      </c>
      <c r="B10">
        <f t="shared" si="0"/>
        <v>222</v>
      </c>
      <c r="C10">
        <f>B10+$P$6</f>
        <v>224</v>
      </c>
      <c r="D10">
        <f>C10+$Q$6</f>
        <v>246</v>
      </c>
      <c r="E10">
        <f>D10+$R$6</f>
        <v>232</v>
      </c>
      <c r="F10">
        <f>E10+$S$6</f>
        <v>253</v>
      </c>
    </row>
    <row r="11" spans="1:23" x14ac:dyDescent="0.2">
      <c r="A11" t="s">
        <v>60</v>
      </c>
      <c r="B11">
        <f t="shared" si="0"/>
        <v>244</v>
      </c>
      <c r="C11">
        <f>B11+$P$4</f>
        <v>246</v>
      </c>
      <c r="D11">
        <f>C11+$Q$4</f>
        <v>290</v>
      </c>
      <c r="E11">
        <f>D11+$R$4</f>
        <v>254</v>
      </c>
      <c r="F11">
        <f>E11+$S$4</f>
        <v>298</v>
      </c>
    </row>
    <row r="12" spans="1:23" x14ac:dyDescent="0.2">
      <c r="A12" t="s">
        <v>59</v>
      </c>
      <c r="B12">
        <f t="shared" si="0"/>
        <v>288</v>
      </c>
      <c r="C12">
        <f>B12+$P$4</f>
        <v>290</v>
      </c>
      <c r="D12">
        <f>C12+$Q$4</f>
        <v>334</v>
      </c>
      <c r="E12">
        <f>D12+$R$4</f>
        <v>298</v>
      </c>
      <c r="F12">
        <f>E12+$S$4</f>
        <v>342</v>
      </c>
    </row>
    <row r="13" spans="1:23" x14ac:dyDescent="0.2">
      <c r="A13" t="s">
        <v>187</v>
      </c>
      <c r="B13">
        <v>400</v>
      </c>
      <c r="C13">
        <f>B13+$P$6</f>
        <v>402</v>
      </c>
      <c r="D13">
        <f>C13+$Q$6</f>
        <v>424</v>
      </c>
      <c r="E13">
        <f>D13+$R$6</f>
        <v>410</v>
      </c>
      <c r="F13">
        <f>E13+$S$6</f>
        <v>431</v>
      </c>
    </row>
    <row r="14" spans="1:23" x14ac:dyDescent="0.2">
      <c r="A14" t="s">
        <v>188</v>
      </c>
      <c r="B14">
        <f t="shared" si="0"/>
        <v>422</v>
      </c>
      <c r="C14">
        <f>B14+$P$6</f>
        <v>424</v>
      </c>
      <c r="D14">
        <f>C14+$Q$6</f>
        <v>446</v>
      </c>
      <c r="E14">
        <f>D14+$R$6</f>
        <v>432</v>
      </c>
      <c r="F14">
        <f>E14+$S$6</f>
        <v>453</v>
      </c>
    </row>
    <row r="15" spans="1:23" x14ac:dyDescent="0.2">
      <c r="A15" t="s">
        <v>197</v>
      </c>
      <c r="B15">
        <f>D14-2</f>
        <v>444</v>
      </c>
      <c r="C15">
        <f>B15+$P$4</f>
        <v>446</v>
      </c>
      <c r="D15">
        <f>C15+$Q$4</f>
        <v>490</v>
      </c>
      <c r="E15">
        <f>D15+$R$4</f>
        <v>454</v>
      </c>
      <c r="F15">
        <f>E15+$S$4</f>
        <v>498</v>
      </c>
    </row>
    <row r="16" spans="1:23" x14ac:dyDescent="0.2">
      <c r="A16" t="s">
        <v>198</v>
      </c>
      <c r="B16">
        <f>D15-2</f>
        <v>488</v>
      </c>
      <c r="C16">
        <f>B16+$P$4</f>
        <v>490</v>
      </c>
      <c r="D16">
        <f>C16+$Q$4</f>
        <v>534</v>
      </c>
      <c r="E16">
        <f>D16+$R$4</f>
        <v>498</v>
      </c>
      <c r="F16">
        <f>E16+$S$4</f>
        <v>542</v>
      </c>
    </row>
    <row r="17" spans="1:6" x14ac:dyDescent="0.2">
      <c r="A17" t="s">
        <v>189</v>
      </c>
      <c r="B17">
        <v>600</v>
      </c>
      <c r="C17">
        <f>B17+$P$6</f>
        <v>602</v>
      </c>
      <c r="D17">
        <f>C17+$Q$6</f>
        <v>624</v>
      </c>
      <c r="E17">
        <f>D17+$R$6</f>
        <v>610</v>
      </c>
      <c r="F17">
        <f>E17+$S$6</f>
        <v>631</v>
      </c>
    </row>
    <row r="18" spans="1:6" s="1" customFormat="1" x14ac:dyDescent="0.2">
      <c r="A18" s="1" t="s">
        <v>190</v>
      </c>
      <c r="B18" s="1">
        <f t="shared" si="0"/>
        <v>622</v>
      </c>
      <c r="C18" s="1">
        <f>B18+$P$4</f>
        <v>624</v>
      </c>
      <c r="D18" s="1">
        <f>C18+$Q$4</f>
        <v>668</v>
      </c>
      <c r="E18" s="1">
        <f>D18+$R$4</f>
        <v>632</v>
      </c>
      <c r="F18" s="1">
        <f>E18+$S$4</f>
        <v>676</v>
      </c>
    </row>
    <row r="19" spans="1:6" x14ac:dyDescent="0.2">
      <c r="A19" s="1"/>
      <c r="B19" s="1"/>
      <c r="C19" s="1"/>
      <c r="D19" s="1"/>
      <c r="E19" s="1"/>
      <c r="F19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EC0A0-A045-451D-9E1B-C61153127273}">
  <dimension ref="A1:L35"/>
  <sheetViews>
    <sheetView workbookViewId="0">
      <selection activeCell="A41" sqref="A41"/>
    </sheetView>
  </sheetViews>
  <sheetFormatPr defaultRowHeight="14.25" x14ac:dyDescent="0.2"/>
  <cols>
    <col min="1" max="1" width="15" customWidth="1"/>
    <col min="2" max="2" width="18.625" customWidth="1"/>
    <col min="3" max="3" width="19.5" customWidth="1"/>
    <col min="4" max="4" width="17.5" customWidth="1"/>
    <col min="5" max="5" width="22.75" customWidth="1"/>
    <col min="6" max="6" width="15.375" customWidth="1"/>
    <col min="7" max="7" width="19.875" customWidth="1"/>
  </cols>
  <sheetData>
    <row r="1" spans="1:12" x14ac:dyDescent="0.2">
      <c r="A1" t="s">
        <v>170</v>
      </c>
      <c r="B1" t="s">
        <v>171</v>
      </c>
      <c r="C1" t="s">
        <v>172</v>
      </c>
      <c r="D1" t="s">
        <v>173</v>
      </c>
      <c r="E1" t="s">
        <v>174</v>
      </c>
      <c r="F1" t="s">
        <v>175</v>
      </c>
      <c r="G1" t="s">
        <v>176</v>
      </c>
      <c r="H1" t="s">
        <v>177</v>
      </c>
      <c r="I1" t="s">
        <v>178</v>
      </c>
      <c r="J1" t="s">
        <v>179</v>
      </c>
      <c r="K1" t="s">
        <v>180</v>
      </c>
      <c r="L1" t="s">
        <v>181</v>
      </c>
    </row>
    <row r="2" spans="1:12" x14ac:dyDescent="0.2">
      <c r="A2" t="str">
        <f>'PMF c0 round0'!A5</f>
        <v>PMF_M8_0_a</v>
      </c>
      <c r="B2">
        <f>'PMF c0 round0'!E5</f>
        <v>12</v>
      </c>
      <c r="C2">
        <f>'PMF c0 round0'!F5</f>
        <v>16</v>
      </c>
      <c r="D2" t="str">
        <f>'PMF UV c0 round0'!A5</f>
        <v>PMF_M4_0_a</v>
      </c>
      <c r="E2">
        <f>'PMF UV c0 round0'!E5</f>
        <v>10</v>
      </c>
      <c r="F2">
        <f>'PMF UV c0 round0'!F5</f>
        <v>14</v>
      </c>
      <c r="G2" t="str">
        <f>'PMF c1 round0-3'!A5</f>
        <v>PMF_F16_0</v>
      </c>
      <c r="H2">
        <f>'PMF c1 round0-3'!E5</f>
        <v>16</v>
      </c>
      <c r="I2">
        <f>'PMF c1 round0-3'!F5</f>
        <v>32</v>
      </c>
      <c r="J2" t="str">
        <f>'PMF UV c1 round0-3'!A5</f>
        <v>PMF_F8_0</v>
      </c>
      <c r="K2">
        <f>'PMF UV c1 round0-3'!E5</f>
        <v>10</v>
      </c>
      <c r="L2">
        <f>'PMF UV c1 round0-3'!F5</f>
        <v>31</v>
      </c>
    </row>
    <row r="3" spans="1:12" x14ac:dyDescent="0.2">
      <c r="A3" t="str">
        <f>'PMF c0 round0'!A6</f>
        <v xml:space="preserve">PMF_M8_0_b </v>
      </c>
      <c r="B3">
        <f>'PMF c0 round0'!E6</f>
        <v>20</v>
      </c>
      <c r="C3">
        <f>'PMF c0 round0'!F6</f>
        <v>24</v>
      </c>
      <c r="D3" t="str">
        <f>'PMF UV c0 round0'!A6</f>
        <v xml:space="preserve">PMF_M4_0_b </v>
      </c>
      <c r="E3">
        <f>'PMF UV c0 round0'!E6</f>
        <v>18</v>
      </c>
      <c r="F3">
        <f>'PMF UV c0 round0'!F6</f>
        <v>22</v>
      </c>
      <c r="G3" t="str">
        <f>'PMF c1 round0-3'!A6</f>
        <v>PMF_M16_0_c</v>
      </c>
      <c r="H3">
        <f>'PMF c1 round0-3'!E6</f>
        <v>39</v>
      </c>
      <c r="I3">
        <f>'PMF c1 round0-3'!F6</f>
        <v>55</v>
      </c>
      <c r="J3" t="str">
        <f>'PMF UV c1 round0-3'!A6</f>
        <v>PMF_M8_0_c</v>
      </c>
      <c r="K3">
        <f>'PMF UV c1 round0-3'!E6</f>
        <v>32</v>
      </c>
      <c r="L3">
        <f>'PMF UV c1 round0-3'!F6</f>
        <v>53</v>
      </c>
    </row>
    <row r="4" spans="1:12" x14ac:dyDescent="0.2">
      <c r="A4" t="str">
        <f>'PMF c0 round0'!A7</f>
        <v xml:space="preserve">PMF_M8_0_c </v>
      </c>
      <c r="B4">
        <f>'PMF c0 round0'!E7</f>
        <v>28</v>
      </c>
      <c r="C4">
        <f>'PMF c0 round0'!F7</f>
        <v>32</v>
      </c>
      <c r="D4" t="str">
        <f>'PMF UV c0 round0'!A7</f>
        <v xml:space="preserve">PMF_M4_0_c </v>
      </c>
      <c r="E4">
        <f>'PMF UV c0 round0'!E7</f>
        <v>26</v>
      </c>
      <c r="F4">
        <f>'PMF UV c0 round0'!F7</f>
        <v>30</v>
      </c>
      <c r="G4" t="str">
        <f>'PMF c1 round0-3'!A7</f>
        <v>PMF_M32_0_a</v>
      </c>
      <c r="H4">
        <f>'PMF c1 round0-3'!E7</f>
        <v>101</v>
      </c>
      <c r="I4">
        <f>'PMF c1 round0-3'!F7</f>
        <v>176</v>
      </c>
      <c r="J4" t="str">
        <f>'PMF UV c1 round0-3'!A7</f>
        <v>PMF_M16_0_a</v>
      </c>
      <c r="K4">
        <f>'PMF UV c1 round0-3'!E7</f>
        <v>54</v>
      </c>
      <c r="L4">
        <f>'PMF UV c1 round0-3'!F7</f>
        <v>98</v>
      </c>
    </row>
    <row r="5" spans="1:12" x14ac:dyDescent="0.2">
      <c r="A5" t="str">
        <f>'PMF c0 round0'!A8</f>
        <v>PMF_F8_0</v>
      </c>
      <c r="B5">
        <f>'PMF c0 round0'!E8</f>
        <v>36</v>
      </c>
      <c r="C5">
        <f>'PMF c0 round0'!F8</f>
        <v>40</v>
      </c>
      <c r="D5" t="str">
        <f>'PMF UV c0 round0'!A8</f>
        <v>PMF_F4_0</v>
      </c>
      <c r="E5">
        <f>'PMF UV c0 round0'!E8</f>
        <v>34</v>
      </c>
      <c r="F5">
        <f>'PMF UV c0 round0'!F8</f>
        <v>38</v>
      </c>
      <c r="G5" t="str">
        <f>'PMF c1 round0-3'!A8</f>
        <v>PMF_M32_0_b</v>
      </c>
      <c r="H5">
        <f>'PMF c1 round0-3'!E8</f>
        <v>179</v>
      </c>
      <c r="I5">
        <f>'PMF c1 round0-3'!F8</f>
        <v>254</v>
      </c>
      <c r="J5" t="str">
        <f>'PMF UV c1 round0-3'!A8</f>
        <v>PMF_M16_0_b</v>
      </c>
      <c r="K5">
        <f>'PMF UV c1 round0-3'!E8</f>
        <v>98</v>
      </c>
      <c r="L5">
        <f>'PMF UV c1 round0-3'!F8</f>
        <v>142</v>
      </c>
    </row>
    <row r="6" spans="1:12" x14ac:dyDescent="0.2">
      <c r="A6" t="str">
        <f>'PMF c0 round0'!A9</f>
        <v xml:space="preserve">TQITQ_F8 </v>
      </c>
      <c r="B6">
        <f>'PMF c0 round0'!E9</f>
        <v>59</v>
      </c>
      <c r="C6">
        <f>'PMF c0 round0'!F9</f>
        <v>60</v>
      </c>
      <c r="D6" t="str">
        <f>'PMF UV c0 round0'!A9</f>
        <v xml:space="preserve">TQITQ_F4 </v>
      </c>
      <c r="E6">
        <f>'PMF UV c0 round0'!E9</f>
        <v>52</v>
      </c>
      <c r="F6">
        <f>'PMF UV c0 round0'!F9</f>
        <v>53</v>
      </c>
      <c r="G6" t="str">
        <f>'PMF c1 round0-3'!A9</f>
        <v>PMF_F16_1</v>
      </c>
      <c r="H6">
        <f>'PMF c1 round0-3'!E9</f>
        <v>218</v>
      </c>
      <c r="I6">
        <f>'PMF c1 round0-3'!F9</f>
        <v>234</v>
      </c>
      <c r="J6" t="str">
        <f>'PMF UV c1 round0-3'!A9</f>
        <v>PMF_F8_1</v>
      </c>
      <c r="K6">
        <f>'PMF UV c1 round0-3'!E9</f>
        <v>210</v>
      </c>
      <c r="L6">
        <f>'PMF UV c1 round0-3'!F9</f>
        <v>231</v>
      </c>
    </row>
    <row r="7" spans="1:12" x14ac:dyDescent="0.2">
      <c r="A7" t="str">
        <f>'PMF c0 round0'!A10</f>
        <v xml:space="preserve">INTER_PK8 </v>
      </c>
      <c r="B7">
        <f>'PMF c0 round0'!E10</f>
        <v>62</v>
      </c>
      <c r="C7">
        <f>'PMF c0 round0'!F10</f>
        <v>63</v>
      </c>
      <c r="D7" t="str">
        <f>'PMF UV c0 round0'!A10</f>
        <v xml:space="preserve">INTER_PK4 </v>
      </c>
      <c r="E7">
        <f>'PMF UV c0 round0'!E10</f>
        <v>55</v>
      </c>
      <c r="F7">
        <f>'PMF UV c0 round0'!F10</f>
        <v>56</v>
      </c>
      <c r="G7" t="str">
        <f>'PMF c1 round0-3'!A10</f>
        <v>PMF_M16_1_c</v>
      </c>
      <c r="H7">
        <f>'PMF c1 round0-3'!E10</f>
        <v>241</v>
      </c>
      <c r="I7">
        <f>'PMF c1 round0-3'!F10</f>
        <v>257</v>
      </c>
      <c r="J7" t="str">
        <f>'PMF UV c1 round0-3'!A10</f>
        <v>PMF_M8_1_c</v>
      </c>
      <c r="K7">
        <f>'PMF UV c1 round0-3'!E10</f>
        <v>232</v>
      </c>
      <c r="L7">
        <f>'PMF UV c1 round0-3'!F10</f>
        <v>253</v>
      </c>
    </row>
    <row r="8" spans="1:12" x14ac:dyDescent="0.2">
      <c r="A8" t="str">
        <f>'PMF c0 round0'!A11</f>
        <v xml:space="preserve">SEL_PK8 </v>
      </c>
      <c r="B8">
        <f>'PMF c0 round0'!E11</f>
        <v>65</v>
      </c>
      <c r="C8">
        <f>'PMF c0 round0'!F11</f>
        <v>66</v>
      </c>
      <c r="D8" t="str">
        <f>'PMF UV c0 round0'!A11</f>
        <v xml:space="preserve">SEL_PK4 </v>
      </c>
      <c r="E8">
        <f>'PMF UV c0 round0'!E11</f>
        <v>58</v>
      </c>
      <c r="F8">
        <f>'PMF UV c0 round0'!F11</f>
        <v>59</v>
      </c>
      <c r="G8" t="str">
        <f>'PMF c1 round0-3'!A11</f>
        <v>PMF_M32_0_c</v>
      </c>
      <c r="H8">
        <f>'PMF c1 round0-3'!E11</f>
        <v>303</v>
      </c>
      <c r="I8">
        <f>'PMF c1 round0-3'!F11</f>
        <v>378</v>
      </c>
      <c r="J8" t="str">
        <f>'PMF UV c1 round0-3'!A11</f>
        <v>PMF_M16_0_c</v>
      </c>
      <c r="K8">
        <f>'PMF UV c1 round0-3'!E11</f>
        <v>254</v>
      </c>
      <c r="L8">
        <f>'PMF UV c1 round0-3'!F11</f>
        <v>298</v>
      </c>
    </row>
    <row r="9" spans="1:12" x14ac:dyDescent="0.2">
      <c r="A9" t="str">
        <f>'PMF c0 round0'!A12</f>
        <v xml:space="preserve">PMF_M8_1_c </v>
      </c>
      <c r="B9">
        <f>'PMF c0 round0'!E12</f>
        <v>84</v>
      </c>
      <c r="C9">
        <f>'PMF c0 round0'!F12</f>
        <v>88</v>
      </c>
      <c r="D9" t="str">
        <f>'PMF UV c0 round0'!A12</f>
        <v xml:space="preserve">PMF_M4_1_c </v>
      </c>
      <c r="E9">
        <f>'PMF UV c0 round0'!E12</f>
        <v>82</v>
      </c>
      <c r="F9">
        <f>'PMF UV c0 round0'!F12</f>
        <v>86</v>
      </c>
      <c r="G9" t="str">
        <f>'PMF c1 round0-3'!A12</f>
        <v>PMF_F32_0</v>
      </c>
      <c r="H9">
        <f>'PMF c1 round0-3'!E12</f>
        <v>381</v>
      </c>
      <c r="I9">
        <f>'PMF c1 round0-3'!F12</f>
        <v>456</v>
      </c>
      <c r="J9" t="str">
        <f>'PMF UV c1 round0-3'!A12</f>
        <v>PMF_F16_0</v>
      </c>
      <c r="K9">
        <f>'PMF UV c1 round0-3'!E12</f>
        <v>298</v>
      </c>
      <c r="L9">
        <f>'PMF UV c1 round0-3'!F12</f>
        <v>342</v>
      </c>
    </row>
    <row r="10" spans="1:12" x14ac:dyDescent="0.2">
      <c r="A10" t="str">
        <f>'PMF c0 round0'!A13</f>
        <v xml:space="preserve">TQITQ_M8 </v>
      </c>
      <c r="B10">
        <f>'PMF c0 round0'!E13</f>
        <v>107</v>
      </c>
      <c r="C10">
        <f>'PMF c0 round0'!F13</f>
        <v>108</v>
      </c>
      <c r="D10" t="str">
        <f>'PMF UV c0 round0'!A13</f>
        <v xml:space="preserve">TQITQ_M4 </v>
      </c>
      <c r="E10">
        <f>'PMF UV c0 round0'!E13</f>
        <v>100</v>
      </c>
      <c r="F10">
        <f>'PMF UV c0 round0'!F13</f>
        <v>101</v>
      </c>
      <c r="G10" t="str">
        <f>'PMF c1 round0-3'!A13</f>
        <v>PMF_F16_2</v>
      </c>
      <c r="H10">
        <f>'PMF c1 round0-3'!E13</f>
        <v>420</v>
      </c>
      <c r="I10">
        <f>'PMF c1 round0-3'!F13</f>
        <v>436</v>
      </c>
      <c r="J10" t="str">
        <f>'PMF UV c1 round0-3'!A13</f>
        <v>PMF_F8_2</v>
      </c>
      <c r="K10">
        <f>'PMF UV c1 round0-3'!E13</f>
        <v>410</v>
      </c>
      <c r="L10">
        <f>'PMF UV c1 round0-3'!F13</f>
        <v>431</v>
      </c>
    </row>
    <row r="11" spans="1:12" x14ac:dyDescent="0.2">
      <c r="A11" t="str">
        <f>'PMF c0 round0'!A14</f>
        <v xml:space="preserve">INTER_PK8 </v>
      </c>
      <c r="B11">
        <f>'PMF c0 round0'!E14</f>
        <v>110</v>
      </c>
      <c r="C11">
        <f>'PMF c0 round0'!F14</f>
        <v>111</v>
      </c>
      <c r="D11" t="str">
        <f>'PMF UV c0 round0'!A14</f>
        <v xml:space="preserve">INTER_PK4 </v>
      </c>
      <c r="E11">
        <f>'PMF UV c0 round0'!E14</f>
        <v>103</v>
      </c>
      <c r="F11">
        <f>'PMF UV c0 round0'!F14</f>
        <v>104</v>
      </c>
      <c r="G11" t="str">
        <f>'PMF c1 round0-3'!A14</f>
        <v>PMF_M16_2_c</v>
      </c>
      <c r="H11">
        <f>'PMF c1 round0-3'!E14</f>
        <v>443</v>
      </c>
      <c r="I11">
        <f>'PMF c1 round0-3'!F14</f>
        <v>459</v>
      </c>
      <c r="J11" t="str">
        <f>'PMF UV c1 round0-3'!A14</f>
        <v>PMF_M8_2_c</v>
      </c>
      <c r="K11">
        <f>'PMF UV c1 round0-3'!E14</f>
        <v>432</v>
      </c>
      <c r="L11">
        <f>'PMF UV c1 round0-3'!F14</f>
        <v>453</v>
      </c>
    </row>
    <row r="12" spans="1:12" x14ac:dyDescent="0.2">
      <c r="A12" t="str">
        <f>'PMF c0 round0'!A15</f>
        <v xml:space="preserve">SEL_PK8 </v>
      </c>
      <c r="B12">
        <f>'PMF c0 round0'!E15</f>
        <v>113</v>
      </c>
      <c r="C12">
        <f>'PMF c0 round0'!F15</f>
        <v>114</v>
      </c>
      <c r="D12" t="str">
        <f>'PMF UV c0 round0'!A15</f>
        <v xml:space="preserve">SEL_PK4 </v>
      </c>
      <c r="E12">
        <f>'PMF UV c0 round0'!E15</f>
        <v>106</v>
      </c>
      <c r="F12">
        <f>'PMF UV c0 round0'!F15</f>
        <v>107</v>
      </c>
      <c r="G12" t="str">
        <f>'PMF c1 round0-3'!A15</f>
        <v>PMF_64M32_0</v>
      </c>
      <c r="H12">
        <f>'PMF c1 round0-3'!E15</f>
        <v>505</v>
      </c>
      <c r="I12">
        <f>'PMF c1 round0-3'!F15</f>
        <v>580</v>
      </c>
      <c r="J12" t="str">
        <f>'PMF UV c1 round0-3'!A15</f>
        <v>PMF_32M16_0</v>
      </c>
      <c r="K12">
        <f>'PMF UV c1 round0-3'!E15</f>
        <v>454</v>
      </c>
      <c r="L12">
        <f>'PMF UV c1 round0-3'!F15</f>
        <v>498</v>
      </c>
    </row>
    <row r="13" spans="1:12" x14ac:dyDescent="0.2">
      <c r="A13" t="str">
        <f>'PMF c0 round0'!A16</f>
        <v xml:space="preserve">PMF_M8_2_c </v>
      </c>
      <c r="B13">
        <f>'PMF c0 round0'!E16</f>
        <v>131</v>
      </c>
      <c r="C13">
        <f>'PMF c0 round0'!F16</f>
        <v>135</v>
      </c>
      <c r="D13" t="str">
        <f>'PMF UV c0 round0'!A16</f>
        <v xml:space="preserve">PMF_M4_2_c </v>
      </c>
      <c r="E13">
        <f>'PMF UV c0 round0'!E16</f>
        <v>128</v>
      </c>
      <c r="F13">
        <f>'PMF UV c0 round0'!F16</f>
        <v>132</v>
      </c>
      <c r="G13" t="str">
        <f>'PMF c1 round0-3'!A16</f>
        <v>PMF_64M32_1</v>
      </c>
      <c r="H13">
        <f>'PMF c1 round0-3'!E16</f>
        <v>583</v>
      </c>
      <c r="I13">
        <f>'PMF c1 round0-3'!F16</f>
        <v>658</v>
      </c>
      <c r="J13" t="str">
        <f>'PMF UV c1 round0-3'!A17</f>
        <v>PMF_F8_3</v>
      </c>
      <c r="K13">
        <f>'PMF UV c1 round0-3'!E17</f>
        <v>610</v>
      </c>
      <c r="L13">
        <f>'PMF UV c1 round0-3'!F17</f>
        <v>631</v>
      </c>
    </row>
    <row r="14" spans="1:12" x14ac:dyDescent="0.2">
      <c r="A14" t="str">
        <f>'PMF c0 round0'!A17</f>
        <v xml:space="preserve">TQITQ_M8 </v>
      </c>
      <c r="B14">
        <f>'PMF c0 round0'!E17</f>
        <v>154</v>
      </c>
      <c r="C14">
        <f>'PMF c0 round0'!F17</f>
        <v>155</v>
      </c>
      <c r="D14" t="str">
        <f>'PMF UV c0 round0'!A17</f>
        <v xml:space="preserve">TQITQ_M4 </v>
      </c>
      <c r="E14">
        <f>'PMF UV c0 round0'!E17</f>
        <v>146</v>
      </c>
      <c r="F14">
        <f>'PMF UV c0 round0'!F17</f>
        <v>147</v>
      </c>
      <c r="G14" t="str">
        <f>'PMF c1 round0-3'!A17</f>
        <v>PMF_F16_3</v>
      </c>
      <c r="H14">
        <f>'PMF c1 round0-3'!E17</f>
        <v>622</v>
      </c>
      <c r="I14">
        <f>'PMF c1 round0-3'!F17</f>
        <v>638</v>
      </c>
      <c r="J14" t="str">
        <f>'PMF UV c1 round0-3'!A18</f>
        <v>PMF_M8_3_c</v>
      </c>
      <c r="K14">
        <f>'PMF UV c1 round0-3'!E18</f>
        <v>632</v>
      </c>
      <c r="L14">
        <f>'PMF UV c1 round0-3'!F18</f>
        <v>676</v>
      </c>
    </row>
    <row r="15" spans="1:12" x14ac:dyDescent="0.2">
      <c r="A15" t="str">
        <f>'PMF c0 round0'!A18</f>
        <v xml:space="preserve">INTER_PK8 </v>
      </c>
      <c r="B15">
        <f>'PMF c0 round0'!E18</f>
        <v>157</v>
      </c>
      <c r="C15">
        <f>'PMF c0 round0'!F18</f>
        <v>158</v>
      </c>
      <c r="D15" t="str">
        <f>'PMF UV c0 round0'!A18</f>
        <v xml:space="preserve">INTER_PK4 </v>
      </c>
      <c r="E15">
        <f>'PMF UV c0 round0'!E18</f>
        <v>149</v>
      </c>
      <c r="F15">
        <f>'PMF UV c0 round0'!F18</f>
        <v>150</v>
      </c>
      <c r="G15" t="str">
        <f>'PMF c1 round0-3'!A18</f>
        <v>PMF_M16_3_c</v>
      </c>
      <c r="H15">
        <f>'PMF c1 round0-3'!E18</f>
        <v>645</v>
      </c>
      <c r="I15">
        <f>'PMF c1 round0-3'!F18</f>
        <v>661</v>
      </c>
      <c r="J15">
        <f>'PMF UV c1 round0-3'!A19</f>
        <v>0</v>
      </c>
      <c r="K15">
        <f>'PMF UV c1 round0-3'!E19</f>
        <v>0</v>
      </c>
      <c r="L15">
        <f>'PMF UV c1 round0-3'!F19</f>
        <v>0</v>
      </c>
    </row>
    <row r="16" spans="1:12" x14ac:dyDescent="0.2">
      <c r="A16" t="str">
        <f>'PMF c0 round0'!A19</f>
        <v xml:space="preserve">SEL_PK8 </v>
      </c>
      <c r="B16">
        <f>'PMF c0 round0'!E19</f>
        <v>160</v>
      </c>
      <c r="C16">
        <f>'PMF c0 round0'!F19</f>
        <v>161</v>
      </c>
      <c r="D16" t="str">
        <f>'PMF UV c0 round0'!A19</f>
        <v xml:space="preserve">SEL_PK4 </v>
      </c>
      <c r="E16">
        <f>'PMF UV c0 round0'!E19</f>
        <v>152</v>
      </c>
      <c r="F16">
        <f>'PMF UV c0 round0'!F19</f>
        <v>153</v>
      </c>
      <c r="G16">
        <f>'PMF c1 round0-3'!A19</f>
        <v>0</v>
      </c>
      <c r="H16">
        <f>'PMF c1 round0-3'!E19</f>
        <v>0</v>
      </c>
      <c r="I16">
        <f>'PMF c1 round0-3'!F19</f>
        <v>0</v>
      </c>
      <c r="J16">
        <f>'PMF UV c1 round0-3'!A20</f>
        <v>0</v>
      </c>
      <c r="K16">
        <f>'PMF UV c1 round0-3'!E20</f>
        <v>0</v>
      </c>
      <c r="L16">
        <f>'PMF UV c1 round0-3'!F20</f>
        <v>0</v>
      </c>
    </row>
    <row r="17" spans="1:12" x14ac:dyDescent="0.2">
      <c r="A17" t="str">
        <f>'PMF c0 round0'!A20</f>
        <v xml:space="preserve">PMF_M8_3_c </v>
      </c>
      <c r="B17">
        <f>'PMF c0 round0'!E20</f>
        <v>178</v>
      </c>
      <c r="C17">
        <f>'PMF c0 round0'!F20</f>
        <v>182</v>
      </c>
      <c r="D17" t="str">
        <f>'PMF UV c0 round0'!A20</f>
        <v xml:space="preserve">PMF_M4_3_c </v>
      </c>
      <c r="E17">
        <f>'PMF UV c0 round0'!E20</f>
        <v>174</v>
      </c>
      <c r="F17">
        <f>'PMF UV c0 round0'!F20</f>
        <v>178</v>
      </c>
      <c r="G17">
        <f>'PMF c1 round0-3'!A20</f>
        <v>0</v>
      </c>
      <c r="H17">
        <f>'PMF c1 round0-3'!E20</f>
        <v>0</v>
      </c>
      <c r="I17">
        <f>'PMF c1 round0-3'!F20</f>
        <v>0</v>
      </c>
      <c r="J17">
        <f>'PMF UV c1 round0-3'!A21</f>
        <v>0</v>
      </c>
      <c r="K17">
        <f>'PMF UV c1 round0-3'!E21</f>
        <v>0</v>
      </c>
      <c r="L17">
        <f>'PMF UV c1 round0-3'!F21</f>
        <v>0</v>
      </c>
    </row>
    <row r="18" spans="1:12" x14ac:dyDescent="0.2">
      <c r="A18" t="str">
        <f>'PMF c0 round0'!A21</f>
        <v xml:space="preserve">TQITQ_F8 </v>
      </c>
      <c r="B18">
        <f>'PMF c0 round0'!E21</f>
        <v>201</v>
      </c>
      <c r="C18">
        <f>'PMF c0 round0'!F21</f>
        <v>202</v>
      </c>
      <c r="D18" t="str">
        <f>'PMF UV c0 round0'!A21</f>
        <v xml:space="preserve">TQITQ_F4 </v>
      </c>
      <c r="E18">
        <f>'PMF UV c0 round0'!E21</f>
        <v>192</v>
      </c>
      <c r="F18">
        <f>'PMF UV c0 round0'!F21</f>
        <v>193</v>
      </c>
      <c r="G18">
        <f>'PMF c1 round0-3'!A21</f>
        <v>0</v>
      </c>
      <c r="H18">
        <f>'PMF c1 round0-3'!E21</f>
        <v>0</v>
      </c>
      <c r="I18">
        <f>'PMF c1 round0-3'!F21</f>
        <v>0</v>
      </c>
      <c r="J18">
        <f>'PMF UV c1 round0-3'!A22</f>
        <v>0</v>
      </c>
      <c r="K18">
        <f>'PMF UV c1 round0-3'!E22</f>
        <v>0</v>
      </c>
      <c r="L18">
        <f>'PMF UV c1 round0-3'!F22</f>
        <v>0</v>
      </c>
    </row>
    <row r="19" spans="1:12" x14ac:dyDescent="0.2">
      <c r="A19" t="str">
        <f>'PMF c0 round0'!A22</f>
        <v xml:space="preserve">INTER_PK8 </v>
      </c>
      <c r="B19">
        <f>'PMF c0 round0'!E22</f>
        <v>204</v>
      </c>
      <c r="C19">
        <f>'PMF c0 round0'!F22</f>
        <v>205</v>
      </c>
      <c r="D19" t="str">
        <f>'PMF UV c0 round0'!A22</f>
        <v xml:space="preserve">INTER_PK4 </v>
      </c>
      <c r="E19">
        <f>'PMF UV c0 round0'!E22</f>
        <v>195</v>
      </c>
      <c r="F19">
        <f>'PMF UV c0 round0'!F22</f>
        <v>196</v>
      </c>
      <c r="G19">
        <f>'PMF c1 round0-3'!A22</f>
        <v>0</v>
      </c>
      <c r="H19">
        <f>'PMF c1 round0-3'!E22</f>
        <v>0</v>
      </c>
      <c r="I19">
        <f>'PMF c1 round0-3'!F22</f>
        <v>0</v>
      </c>
      <c r="J19">
        <f>'PMF UV c1 round0-3'!A23</f>
        <v>0</v>
      </c>
      <c r="K19">
        <f>'PMF UV c1 round0-3'!E23</f>
        <v>0</v>
      </c>
      <c r="L19">
        <f>'PMF UV c1 round0-3'!F23</f>
        <v>0</v>
      </c>
    </row>
    <row r="20" spans="1:12" x14ac:dyDescent="0.2">
      <c r="A20" t="str">
        <f>'PMF c0 round0'!A23</f>
        <v xml:space="preserve">SEL_PK8 </v>
      </c>
      <c r="B20">
        <f>'PMF c0 round0'!E23</f>
        <v>207</v>
      </c>
      <c r="C20">
        <f>'PMF c0 round0'!F23</f>
        <v>208</v>
      </c>
      <c r="D20" t="str">
        <f>'PMF UV c0 round0'!A23</f>
        <v xml:space="preserve">SEL_PK4 </v>
      </c>
      <c r="E20">
        <f>'PMF UV c0 round0'!E23</f>
        <v>198</v>
      </c>
      <c r="F20">
        <f>'PMF UV c0 round0'!F23</f>
        <v>199</v>
      </c>
      <c r="G20">
        <f>'PMF c1 round0-3'!A23</f>
        <v>0</v>
      </c>
      <c r="H20">
        <f>'PMF c1 round0-3'!E23</f>
        <v>0</v>
      </c>
      <c r="I20">
        <f>'PMF c1 round0-3'!F23</f>
        <v>0</v>
      </c>
      <c r="J20">
        <f>'PMF UV c1 round0-3'!A24</f>
        <v>0</v>
      </c>
      <c r="K20">
        <f>'PMF UV c1 round0-3'!E24</f>
        <v>0</v>
      </c>
      <c r="L20">
        <f>'PMF UV c1 round0-3'!F24</f>
        <v>0</v>
      </c>
    </row>
    <row r="21" spans="1:12" x14ac:dyDescent="0.2">
      <c r="A21" t="str">
        <f>'PMF c0 round0'!A24</f>
        <v>dummy wait</v>
      </c>
      <c r="B21">
        <f>'PMF c0 round0'!E24</f>
        <v>215</v>
      </c>
      <c r="C21">
        <f>'PMF c0 round0'!F24</f>
        <v>216</v>
      </c>
      <c r="D21" t="str">
        <f>'PMF UV c0 round0'!A24</f>
        <v>dummy wait</v>
      </c>
      <c r="E21">
        <f>'PMF UV c0 round0'!E24</f>
        <v>206</v>
      </c>
      <c r="F21">
        <f>'PMF UV c0 round0'!F24</f>
        <v>207</v>
      </c>
      <c r="G21">
        <f>'PMF c1 round0-3'!A24</f>
        <v>0</v>
      </c>
      <c r="H21">
        <f>'PMF c1 round0-3'!E24</f>
        <v>0</v>
      </c>
      <c r="I21">
        <f>'PMF c1 round0-3'!F24</f>
        <v>0</v>
      </c>
      <c r="J21">
        <f>'PMF UV c1 round0-3'!A25</f>
        <v>0</v>
      </c>
      <c r="K21">
        <f>'PMF UV c1 round0-3'!E25</f>
        <v>0</v>
      </c>
      <c r="L21">
        <f>'PMF UV c1 round0-3'!F25</f>
        <v>0</v>
      </c>
    </row>
    <row r="22" spans="1:12" x14ac:dyDescent="0.2">
      <c r="A22" t="str">
        <f>'PMF c0 round0'!A25</f>
        <v>PMF_M8_1_a</v>
      </c>
      <c r="B22">
        <f>'PMF c0 round0'!E25</f>
        <v>44</v>
      </c>
      <c r="C22">
        <f>'PMF c0 round0'!F25</f>
        <v>48</v>
      </c>
      <c r="D22" t="str">
        <f>'PMF UV c0 round0'!A25</f>
        <v>PMF_M4_1_a</v>
      </c>
      <c r="E22">
        <f>'PMF UV c0 round0'!E25</f>
        <v>42</v>
      </c>
      <c r="F22">
        <f>'PMF UV c0 round0'!F25</f>
        <v>46</v>
      </c>
      <c r="G22">
        <f>'PMF c1 round0-3'!A25</f>
        <v>0</v>
      </c>
      <c r="H22">
        <f>'PMF c1 round0-3'!E25</f>
        <v>0</v>
      </c>
      <c r="I22">
        <f>'PMF c1 round0-3'!F25</f>
        <v>0</v>
      </c>
      <c r="J22">
        <f>'PMF UV c1 round0-3'!A26</f>
        <v>0</v>
      </c>
      <c r="K22">
        <f>'PMF UV c1 round0-3'!E26</f>
        <v>0</v>
      </c>
      <c r="L22">
        <f>'PMF UV c1 round0-3'!F26</f>
        <v>0</v>
      </c>
    </row>
    <row r="23" spans="1:12" x14ac:dyDescent="0.2">
      <c r="A23" t="str">
        <f>'PMF c0 round0'!A26</f>
        <v xml:space="preserve">PMF_M8_1_b </v>
      </c>
      <c r="B23">
        <f>'PMF c0 round0'!E26</f>
        <v>52</v>
      </c>
      <c r="C23">
        <f>'PMF c0 round0'!F26</f>
        <v>56</v>
      </c>
      <c r="D23" t="str">
        <f>'PMF UV c0 round0'!A26</f>
        <v xml:space="preserve">PMF_M4_1_b </v>
      </c>
      <c r="E23">
        <f>'PMF UV c0 round0'!E26</f>
        <v>50</v>
      </c>
      <c r="F23">
        <f>'PMF UV c0 round0'!F26</f>
        <v>54</v>
      </c>
      <c r="G23">
        <f>'PMF c1 round0-3'!A26</f>
        <v>0</v>
      </c>
      <c r="H23">
        <f>'PMF c1 round0-3'!E26</f>
        <v>0</v>
      </c>
      <c r="I23">
        <f>'PMF c1 round0-3'!F26</f>
        <v>0</v>
      </c>
      <c r="J23">
        <f>'PMF UV c1 round0-3'!A27</f>
        <v>0</v>
      </c>
      <c r="K23">
        <f>'PMF UV c1 round0-3'!E27</f>
        <v>0</v>
      </c>
      <c r="L23">
        <f>'PMF UV c1 round0-3'!F27</f>
        <v>0</v>
      </c>
    </row>
    <row r="24" spans="1:12" x14ac:dyDescent="0.2">
      <c r="A24" t="str">
        <f>'PMF c0 round0'!A27</f>
        <v>PMF_F8_1</v>
      </c>
      <c r="B24">
        <f>'PMF c0 round0'!E27</f>
        <v>60</v>
      </c>
      <c r="C24">
        <f>'PMF c0 round0'!F27</f>
        <v>64</v>
      </c>
      <c r="D24" t="str">
        <f>'PMF UV c0 round0'!A27</f>
        <v>PMF_F4_1</v>
      </c>
      <c r="E24">
        <f>'PMF UV c0 round0'!E27</f>
        <v>58</v>
      </c>
      <c r="F24">
        <f>'PMF UV c0 round0'!F27</f>
        <v>62</v>
      </c>
      <c r="G24">
        <f>'PMF c1 round0-3'!A27</f>
        <v>0</v>
      </c>
      <c r="H24">
        <f>'PMF c1 round0-3'!E27</f>
        <v>0</v>
      </c>
      <c r="I24">
        <f>'PMF c1 round0-3'!F27</f>
        <v>0</v>
      </c>
      <c r="J24">
        <f>'PMF UV c1 round0-3'!A28</f>
        <v>0</v>
      </c>
      <c r="K24">
        <f>'PMF UV c1 round0-3'!E28</f>
        <v>0</v>
      </c>
      <c r="L24">
        <f>'PMF UV c1 round0-3'!F28</f>
        <v>0</v>
      </c>
    </row>
    <row r="25" spans="1:12" x14ac:dyDescent="0.2">
      <c r="A25" t="str">
        <f>'PMF c0 round0'!A28</f>
        <v>PMF_F8_2</v>
      </c>
      <c r="B25">
        <f>'PMF c0 round0'!E28</f>
        <v>68</v>
      </c>
      <c r="C25">
        <f>'PMF c0 round0'!F28</f>
        <v>72</v>
      </c>
      <c r="D25" t="str">
        <f>'PMF UV c0 round0'!A28</f>
        <v>PMF_F4_2</v>
      </c>
      <c r="E25">
        <f>'PMF UV c0 round0'!E28</f>
        <v>66</v>
      </c>
      <c r="F25">
        <f>'PMF UV c0 round0'!F28</f>
        <v>70</v>
      </c>
      <c r="G25">
        <f>'PMF c1 round0-3'!A28</f>
        <v>0</v>
      </c>
      <c r="H25">
        <f>'PMF c1 round0-3'!E28</f>
        <v>0</v>
      </c>
      <c r="I25">
        <f>'PMF c1 round0-3'!F28</f>
        <v>0</v>
      </c>
      <c r="J25">
        <f>'PMF UV c1 round0-3'!A29</f>
        <v>0</v>
      </c>
      <c r="K25">
        <f>'PMF UV c1 round0-3'!E29</f>
        <v>0</v>
      </c>
      <c r="L25">
        <f>'PMF UV c1 round0-3'!F29</f>
        <v>0</v>
      </c>
    </row>
    <row r="26" spans="1:12" x14ac:dyDescent="0.2">
      <c r="A26" t="str">
        <f>'PMF c0 round0'!A29</f>
        <v xml:space="preserve">PMF_F8_3 </v>
      </c>
      <c r="B26">
        <f>'PMF c0 round0'!E29</f>
        <v>76</v>
      </c>
      <c r="C26">
        <f>'PMF c0 round0'!F29</f>
        <v>80</v>
      </c>
      <c r="D26" t="str">
        <f>'PMF UV c0 round0'!A29</f>
        <v xml:space="preserve">PMF_F4_3 </v>
      </c>
      <c r="E26">
        <f>'PMF UV c0 round0'!E29</f>
        <v>74</v>
      </c>
      <c r="F26">
        <f>'PMF UV c0 round0'!F29</f>
        <v>78</v>
      </c>
      <c r="G26">
        <f>'PMF c1 round0-3'!A29</f>
        <v>0</v>
      </c>
      <c r="H26">
        <f>'PMF c1 round0-3'!E29</f>
        <v>0</v>
      </c>
      <c r="I26">
        <f>'PMF c1 round0-3'!F29</f>
        <v>0</v>
      </c>
      <c r="J26">
        <f>'PMF UV c1 round0-3'!A30</f>
        <v>0</v>
      </c>
      <c r="K26">
        <f>'PMF UV c1 round0-3'!E30</f>
        <v>0</v>
      </c>
      <c r="L26">
        <f>'PMF UV c1 round0-3'!F30</f>
        <v>0</v>
      </c>
    </row>
    <row r="27" spans="1:12" x14ac:dyDescent="0.2">
      <c r="A27" t="str">
        <f>'PMF c0 round0'!A30</f>
        <v>PMF_M8_2_a</v>
      </c>
      <c r="B27">
        <f>'PMF c0 round0'!E30</f>
        <v>92</v>
      </c>
      <c r="C27">
        <f>'PMF c0 round0'!F30</f>
        <v>96</v>
      </c>
      <c r="D27" t="str">
        <f>'PMF UV c0 round0'!A30</f>
        <v>PMF_M4_2_a</v>
      </c>
      <c r="E27">
        <f>'PMF UV c0 round0'!E30</f>
        <v>90</v>
      </c>
      <c r="F27">
        <f>'PMF UV c0 round0'!F30</f>
        <v>94</v>
      </c>
      <c r="G27">
        <f>'PMF c1 round0-3'!A30</f>
        <v>0</v>
      </c>
      <c r="H27">
        <f>'PMF c1 round0-3'!E30</f>
        <v>0</v>
      </c>
      <c r="I27">
        <f>'PMF c1 round0-3'!F30</f>
        <v>0</v>
      </c>
      <c r="J27">
        <f>'PMF UV c1 round0-3'!A31</f>
        <v>0</v>
      </c>
      <c r="K27">
        <f>'PMF UV c1 round0-3'!E31</f>
        <v>0</v>
      </c>
      <c r="L27">
        <f>'PMF UV c1 round0-3'!F31</f>
        <v>0</v>
      </c>
    </row>
    <row r="28" spans="1:12" x14ac:dyDescent="0.2">
      <c r="A28" t="str">
        <f>'PMF c0 round0'!A31</f>
        <v xml:space="preserve">PMF_M8_2_b </v>
      </c>
      <c r="B28">
        <f>'PMF c0 round0'!E31</f>
        <v>100</v>
      </c>
      <c r="C28">
        <f>'PMF c0 round0'!F31</f>
        <v>104</v>
      </c>
      <c r="D28" t="str">
        <f>'PMF UV c0 round0'!A31</f>
        <v xml:space="preserve">PMF_M4_2_b </v>
      </c>
      <c r="E28">
        <f>'PMF UV c0 round0'!E31</f>
        <v>98</v>
      </c>
      <c r="F28">
        <f>'PMF UV c0 round0'!F31</f>
        <v>102</v>
      </c>
      <c r="G28">
        <f>'PMF c1 round0-3'!A31</f>
        <v>0</v>
      </c>
      <c r="H28">
        <f>'PMF c1 round0-3'!E31</f>
        <v>0</v>
      </c>
      <c r="I28">
        <f>'PMF c1 round0-3'!F31</f>
        <v>0</v>
      </c>
      <c r="J28">
        <f>'PMF UV c1 round0-3'!A32</f>
        <v>0</v>
      </c>
      <c r="K28">
        <f>'PMF UV c1 round0-3'!E32</f>
        <v>0</v>
      </c>
      <c r="L28">
        <f>'PMF UV c1 round0-3'!F32</f>
        <v>0</v>
      </c>
    </row>
    <row r="29" spans="1:12" x14ac:dyDescent="0.2">
      <c r="A29" t="str">
        <f>'PMF c0 round0'!A32</f>
        <v>PMF_M16_0_a</v>
      </c>
      <c r="B29">
        <f>'PMF c0 round0'!E32</f>
        <v>108</v>
      </c>
      <c r="C29">
        <f>'PMF c0 round0'!F32</f>
        <v>124</v>
      </c>
      <c r="D29" t="str">
        <f>'PMF UV c0 round0'!A32</f>
        <v>PMF_M8_0_a</v>
      </c>
      <c r="E29">
        <f>'PMF UV c0 round0'!E32</f>
        <v>106</v>
      </c>
      <c r="F29">
        <f>'PMF UV c0 round0'!F32</f>
        <v>122</v>
      </c>
      <c r="G29">
        <f>'PMF c1 round0-3'!A32</f>
        <v>0</v>
      </c>
      <c r="H29">
        <f>'PMF c1 round0-3'!E32</f>
        <v>0</v>
      </c>
      <c r="I29">
        <f>'PMF c1 round0-3'!F32</f>
        <v>0</v>
      </c>
      <c r="J29">
        <f>'PMF UV c1 round0-3'!A33</f>
        <v>0</v>
      </c>
      <c r="K29">
        <f>'PMF UV c1 round0-3'!E33</f>
        <v>0</v>
      </c>
      <c r="L29">
        <f>'PMF UV c1 round0-3'!F33</f>
        <v>0</v>
      </c>
    </row>
    <row r="30" spans="1:12" x14ac:dyDescent="0.2">
      <c r="A30" t="str">
        <f>'PMF c0 round0'!A33</f>
        <v xml:space="preserve">PMF_M16_0_b </v>
      </c>
      <c r="B30">
        <f>'PMF c0 round0'!E33</f>
        <v>139</v>
      </c>
      <c r="C30">
        <f>'PMF c0 round0'!F33</f>
        <v>155</v>
      </c>
      <c r="D30" t="str">
        <f>'PMF UV c0 round0'!A33</f>
        <v xml:space="preserve">PMF_M8_0_b </v>
      </c>
      <c r="E30">
        <f>'PMF UV c0 round0'!E33</f>
        <v>136</v>
      </c>
      <c r="F30">
        <f>'PMF UV c0 round0'!F33</f>
        <v>152</v>
      </c>
      <c r="G30">
        <f>'PMF c1 round0-3'!A33</f>
        <v>0</v>
      </c>
      <c r="H30">
        <f>'PMF c1 round0-3'!E33</f>
        <v>0</v>
      </c>
      <c r="I30">
        <f>'PMF c1 round0-3'!F33</f>
        <v>0</v>
      </c>
      <c r="J30">
        <f>'PMF UV c1 round0-3'!A34</f>
        <v>0</v>
      </c>
      <c r="K30">
        <f>'PMF UV c1 round0-3'!E34</f>
        <v>0</v>
      </c>
      <c r="L30">
        <f>'PMF UV c1 round0-3'!F34</f>
        <v>0</v>
      </c>
    </row>
    <row r="31" spans="1:12" x14ac:dyDescent="0.2">
      <c r="A31" t="str">
        <f>'PMF c0 round0'!A34</f>
        <v>PMF_M8_3_a</v>
      </c>
      <c r="B31">
        <f>'PMF c0 round0'!E34</f>
        <v>162</v>
      </c>
      <c r="C31">
        <f>'PMF c0 round0'!F34</f>
        <v>166</v>
      </c>
      <c r="D31" t="str">
        <f>'PMF UV c0 round0'!A34</f>
        <v>PMF_M4_3_a</v>
      </c>
      <c r="E31">
        <f>'PMF UV c0 round0'!E34</f>
        <v>158</v>
      </c>
      <c r="F31">
        <f>'PMF UV c0 round0'!F34</f>
        <v>162</v>
      </c>
      <c r="G31">
        <f>'PMF c1 round0-3'!A34</f>
        <v>0</v>
      </c>
      <c r="H31">
        <f>'PMF c1 round0-3'!E34</f>
        <v>0</v>
      </c>
      <c r="I31">
        <f>'PMF c1 round0-3'!F34</f>
        <v>0</v>
      </c>
      <c r="J31">
        <f>'PMF UV c1 round0-3'!A35</f>
        <v>0</v>
      </c>
      <c r="K31">
        <f>'PMF UV c1 round0-3'!E35</f>
        <v>0</v>
      </c>
      <c r="L31">
        <f>'PMF UV c1 round0-3'!F35</f>
        <v>0</v>
      </c>
    </row>
    <row r="32" spans="1:12" x14ac:dyDescent="0.2">
      <c r="A32" t="str">
        <f>'PMF c0 round0'!A35</f>
        <v xml:space="preserve">PMF_M8_3_b </v>
      </c>
      <c r="B32">
        <f>'PMF c0 round0'!E35</f>
        <v>170</v>
      </c>
      <c r="C32">
        <f>'PMF c0 round0'!F35</f>
        <v>174</v>
      </c>
      <c r="D32" t="str">
        <f>'PMF UV c0 round0'!A35</f>
        <v xml:space="preserve">PMF_M4_3_b </v>
      </c>
      <c r="E32">
        <f>'PMF UV c0 round0'!E35</f>
        <v>166</v>
      </c>
      <c r="F32">
        <f>'PMF UV c0 round0'!F35</f>
        <v>170</v>
      </c>
      <c r="G32">
        <f>'PMF c1 round0-3'!A35</f>
        <v>0</v>
      </c>
      <c r="H32">
        <f>'PMF c1 round0-3'!E35</f>
        <v>0</v>
      </c>
      <c r="I32">
        <f>'PMF c1 round0-3'!F35</f>
        <v>0</v>
      </c>
      <c r="J32">
        <f>'PMF UV c1 round0-3'!A36</f>
        <v>0</v>
      </c>
      <c r="K32">
        <f>'PMF UV c1 round0-3'!E36</f>
        <v>0</v>
      </c>
      <c r="L32">
        <f>'PMF UV c1 round0-3'!F36</f>
        <v>0</v>
      </c>
    </row>
    <row r="33" spans="1:12" x14ac:dyDescent="0.2">
      <c r="A33">
        <f>'PMF c0 round0'!A36</f>
        <v>0</v>
      </c>
      <c r="B33">
        <f>'PMF c0 round0'!E36</f>
        <v>0</v>
      </c>
      <c r="C33">
        <f>'PMF c0 round0'!F36</f>
        <v>0</v>
      </c>
      <c r="D33">
        <f>'PMF UV c0 round0'!A36</f>
        <v>0</v>
      </c>
      <c r="E33">
        <f>'PMF UV c0 round0'!E36</f>
        <v>0</v>
      </c>
      <c r="F33">
        <f>'PMF UV c0 round0'!F36</f>
        <v>0</v>
      </c>
      <c r="G33">
        <f>'PMF c1 round0-3'!A36</f>
        <v>0</v>
      </c>
      <c r="H33">
        <f>'PMF c1 round0-3'!E36</f>
        <v>0</v>
      </c>
      <c r="I33">
        <f>'PMF c1 round0-3'!F36</f>
        <v>0</v>
      </c>
      <c r="J33">
        <f>'PMF UV c1 round0-3'!A37</f>
        <v>0</v>
      </c>
      <c r="K33">
        <f>'PMF UV c1 round0-3'!E37</f>
        <v>0</v>
      </c>
      <c r="L33">
        <f>'PMF UV c1 round0-3'!F37</f>
        <v>0</v>
      </c>
    </row>
    <row r="34" spans="1:12" x14ac:dyDescent="0.2">
      <c r="A34">
        <f>'PMF c0 round0'!A37</f>
        <v>0</v>
      </c>
      <c r="B34">
        <f>'PMF c0 round0'!E37</f>
        <v>0</v>
      </c>
      <c r="C34">
        <f>'PMF c0 round0'!F37</f>
        <v>0</v>
      </c>
      <c r="D34">
        <f>'PMF UV c0 round0'!A37</f>
        <v>0</v>
      </c>
      <c r="E34">
        <f>'PMF UV c0 round0'!E37</f>
        <v>0</v>
      </c>
      <c r="F34">
        <f>'PMF UV c0 round0'!F37</f>
        <v>0</v>
      </c>
      <c r="G34">
        <f>'PMF c1 round0-3'!A37</f>
        <v>0</v>
      </c>
      <c r="H34">
        <f>'PMF c1 round0-3'!E37</f>
        <v>0</v>
      </c>
      <c r="I34">
        <f>'PMF c1 round0-3'!F37</f>
        <v>0</v>
      </c>
      <c r="J34">
        <f>'PMF UV c1 round0-3'!A38</f>
        <v>0</v>
      </c>
      <c r="K34">
        <f>'PMF UV c1 round0-3'!E38</f>
        <v>0</v>
      </c>
      <c r="L34">
        <f>'PMF UV c1 round0-3'!F38</f>
        <v>0</v>
      </c>
    </row>
    <row r="35" spans="1:12" x14ac:dyDescent="0.2">
      <c r="A35">
        <f>'PMF c0 round0'!A38</f>
        <v>0</v>
      </c>
      <c r="B35">
        <f>'PMF c0 round0'!E38</f>
        <v>0</v>
      </c>
      <c r="C35">
        <f>'PMF c0 round0'!F38</f>
        <v>0</v>
      </c>
      <c r="D35">
        <f>'PMF UV c0 round0'!A38</f>
        <v>0</v>
      </c>
      <c r="E35">
        <f>'PMF UV c0 round0'!E38</f>
        <v>0</v>
      </c>
      <c r="F35">
        <f>'PMF UV c0 round0'!F38</f>
        <v>0</v>
      </c>
      <c r="G35">
        <f>'PMF c1 round0-3'!A38</f>
        <v>0</v>
      </c>
      <c r="H35">
        <f>'PMF c1 round0-3'!E38</f>
        <v>0</v>
      </c>
      <c r="I35">
        <f>'PMF c1 round0-3'!F38</f>
        <v>0</v>
      </c>
      <c r="J35">
        <f>'PMF UV c1 round0-3'!A39</f>
        <v>0</v>
      </c>
      <c r="K35">
        <f>'PMF UV c1 round0-3'!E39</f>
        <v>0</v>
      </c>
      <c r="L35">
        <f>'PMF UV c1 round0-3'!F39</f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v0</vt:lpstr>
      <vt:lpstr>PMF c1 round0-3</vt:lpstr>
      <vt:lpstr>PMF c0 round0</vt:lpstr>
      <vt:lpstr>PMF c0 round1-3</vt:lpstr>
      <vt:lpstr>PMF UV c0 round0</vt:lpstr>
      <vt:lpstr>PMF UV c1 round0-3</vt:lpstr>
      <vt:lpstr>TQITQ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Huangtao Wu</dc:creator>
  <cp:lastModifiedBy>Huangtao Wu</cp:lastModifiedBy>
  <dcterms:created xsi:type="dcterms:W3CDTF">2025-12-10T06:48:06Z</dcterms:created>
  <dcterms:modified xsi:type="dcterms:W3CDTF">2025-12-17T03:50:25Z</dcterms:modified>
</cp:coreProperties>
</file>