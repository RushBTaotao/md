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u01\Desktop\md\"/>
    </mc:Choice>
  </mc:AlternateContent>
  <xr:revisionPtr revIDLastSave="0" documentId="13_ncr:1_{C0B90453-2795-49A7-803A-80D1662E5273}" xr6:coauthVersionLast="33" xr6:coauthVersionMax="33" xr10:uidLastSave="{00000000-0000-0000-0000-000000000000}"/>
  <bookViews>
    <workbookView xWindow="0" yWindow="0" windowWidth="28800" windowHeight="12135" tabRatio="868" firstSheet="6" activeTab="15" xr2:uid="{39627F01-7337-4F89-8A01-1D6EB359A865}"/>
  </bookViews>
  <sheets>
    <sheet name="v0" sheetId="1" r:id="rId1"/>
    <sheet name="264PMF Y c0 round0" sheetId="20" r:id="rId2"/>
    <sheet name="264PMF Y c1 round0" sheetId="21" r:id="rId3"/>
    <sheet name="264PMF UV c0 round0" sheetId="24" r:id="rId4"/>
    <sheet name="264PMF UV c1 round0" sheetId="25" r:id="rId5"/>
    <sheet name="PMF c0 round0" sheetId="3" r:id="rId6"/>
    <sheet name="PMF sp c0 round0" sheetId="12" r:id="rId7"/>
    <sheet name="PMF sp c0 round1-3" sheetId="14" r:id="rId8"/>
    <sheet name="PMF c0 round1-3" sheetId="4" r:id="rId9"/>
    <sheet name="PMF c1 round0" sheetId="7" r:id="rId10"/>
    <sheet name="PMF c1 round1-3" sheetId="19" r:id="rId11"/>
    <sheet name="PMF UV c0 round0" sheetId="9" r:id="rId12"/>
    <sheet name="PMF UV c0 round1-3" sheetId="13" r:id="rId13"/>
    <sheet name="PMF UV c1 round0" sheetId="17" r:id="rId14"/>
    <sheet name="PMF UV c1 round1-3" sheetId="11" r:id="rId15"/>
    <sheet name="Sheet21" sheetId="27" r:id="rId1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1" l="1"/>
  <c r="F14" i="11"/>
  <c r="F13" i="11"/>
  <c r="E95" i="1"/>
  <c r="B95" i="1"/>
  <c r="E94" i="1"/>
  <c r="B94" i="1"/>
  <c r="B16" i="9"/>
  <c r="F12" i="25"/>
  <c r="F11" i="25"/>
  <c r="F8" i="25"/>
  <c r="F7" i="25"/>
  <c r="E5" i="25"/>
  <c r="E7" i="25" s="1"/>
  <c r="E6" i="25"/>
  <c r="E11" i="25"/>
  <c r="D6" i="25"/>
  <c r="C6" i="25"/>
  <c r="B6" i="25"/>
  <c r="D5" i="25"/>
  <c r="C5" i="25"/>
  <c r="F10" i="21"/>
  <c r="F14" i="21"/>
  <c r="B6" i="21"/>
  <c r="L9" i="21"/>
  <c r="C5" i="21"/>
  <c r="D5" i="21" s="1"/>
  <c r="P26" i="20"/>
  <c r="O26" i="20"/>
  <c r="N26" i="20"/>
  <c r="M26" i="20"/>
  <c r="L26" i="20"/>
  <c r="K26" i="20"/>
  <c r="J26" i="20"/>
  <c r="I26" i="20"/>
  <c r="P25" i="20"/>
  <c r="O25" i="20"/>
  <c r="N25" i="20"/>
  <c r="M25" i="20"/>
  <c r="L25" i="20"/>
  <c r="K25" i="20"/>
  <c r="J25" i="20"/>
  <c r="I25" i="20"/>
  <c r="P24" i="20"/>
  <c r="O24" i="20"/>
  <c r="N24" i="20"/>
  <c r="M24" i="20"/>
  <c r="L24" i="20"/>
  <c r="K24" i="20"/>
  <c r="J24" i="20"/>
  <c r="I24" i="20"/>
  <c r="P23" i="20"/>
  <c r="O23" i="20"/>
  <c r="N23" i="20"/>
  <c r="M23" i="20"/>
  <c r="L23" i="20"/>
  <c r="K23" i="20"/>
  <c r="J23" i="20"/>
  <c r="I23" i="20"/>
  <c r="P22" i="20"/>
  <c r="O22" i="20"/>
  <c r="N22" i="20"/>
  <c r="M22" i="20"/>
  <c r="L22" i="20"/>
  <c r="K22" i="20"/>
  <c r="J22" i="20"/>
  <c r="I22" i="20"/>
  <c r="P21" i="20"/>
  <c r="O21" i="20"/>
  <c r="N21" i="20"/>
  <c r="M21" i="20"/>
  <c r="L21" i="20"/>
  <c r="K21" i="20"/>
  <c r="J21" i="20"/>
  <c r="I21" i="20"/>
  <c r="P20" i="20"/>
  <c r="O20" i="20"/>
  <c r="N20" i="20"/>
  <c r="M20" i="20"/>
  <c r="L20" i="20"/>
  <c r="K20" i="20"/>
  <c r="J20" i="20"/>
  <c r="I20" i="20"/>
  <c r="P19" i="20"/>
  <c r="O19" i="20"/>
  <c r="N19" i="20"/>
  <c r="M19" i="20"/>
  <c r="L19" i="20"/>
  <c r="K19" i="20"/>
  <c r="J19" i="20"/>
  <c r="I19" i="20"/>
  <c r="P18" i="20"/>
  <c r="O18" i="20"/>
  <c r="N18" i="20"/>
  <c r="M18" i="20"/>
  <c r="L18" i="20"/>
  <c r="K18" i="20"/>
  <c r="J18" i="20"/>
  <c r="I18" i="20"/>
  <c r="P17" i="20"/>
  <c r="O17" i="20"/>
  <c r="N17" i="20"/>
  <c r="M17" i="20"/>
  <c r="L17" i="20"/>
  <c r="K17" i="20"/>
  <c r="J17" i="20"/>
  <c r="I17" i="20"/>
  <c r="P16" i="20"/>
  <c r="O16" i="20"/>
  <c r="N16" i="20"/>
  <c r="M16" i="20"/>
  <c r="L16" i="20"/>
  <c r="K16" i="20"/>
  <c r="J16" i="20"/>
  <c r="I16" i="20"/>
  <c r="P15" i="20"/>
  <c r="O15" i="20"/>
  <c r="N15" i="20"/>
  <c r="M15" i="20"/>
  <c r="L15" i="20"/>
  <c r="K15" i="20"/>
  <c r="J15" i="20"/>
  <c r="I15" i="20"/>
  <c r="P14" i="20"/>
  <c r="O14" i="20"/>
  <c r="N14" i="20"/>
  <c r="M14" i="20"/>
  <c r="L14" i="20"/>
  <c r="K14" i="20"/>
  <c r="J14" i="20"/>
  <c r="I14" i="20"/>
  <c r="P13" i="20"/>
  <c r="O13" i="20"/>
  <c r="N13" i="20"/>
  <c r="M13" i="20"/>
  <c r="L13" i="20"/>
  <c r="K13" i="20"/>
  <c r="J13" i="20"/>
  <c r="I13" i="20"/>
  <c r="P12" i="20"/>
  <c r="O12" i="20"/>
  <c r="N12" i="20"/>
  <c r="M12" i="20"/>
  <c r="L12" i="20"/>
  <c r="K12" i="20"/>
  <c r="J12" i="20"/>
  <c r="I12" i="20"/>
  <c r="P11" i="20"/>
  <c r="O11" i="20"/>
  <c r="N11" i="20"/>
  <c r="M11" i="20"/>
  <c r="L11" i="20"/>
  <c r="K11" i="20"/>
  <c r="J11" i="20"/>
  <c r="I11" i="20"/>
  <c r="P10" i="20"/>
  <c r="O10" i="20"/>
  <c r="N10" i="20"/>
  <c r="M10" i="20"/>
  <c r="L10" i="20"/>
  <c r="K10" i="20"/>
  <c r="J10" i="20"/>
  <c r="I10" i="20"/>
  <c r="P9" i="20"/>
  <c r="O9" i="20"/>
  <c r="N9" i="20"/>
  <c r="M9" i="20"/>
  <c r="K9" i="20"/>
  <c r="J9" i="20"/>
  <c r="I9" i="20"/>
  <c r="P8" i="20"/>
  <c r="O8" i="20"/>
  <c r="N8" i="20"/>
  <c r="M8" i="20"/>
  <c r="L8" i="20"/>
  <c r="K8" i="20"/>
  <c r="J8" i="20"/>
  <c r="I8" i="20"/>
  <c r="P7" i="20"/>
  <c r="O7" i="20"/>
  <c r="M7" i="20"/>
  <c r="L7" i="20"/>
  <c r="K7" i="20"/>
  <c r="J7" i="20"/>
  <c r="I7" i="20"/>
  <c r="P6" i="20"/>
  <c r="O6" i="20"/>
  <c r="N6" i="20"/>
  <c r="M6" i="20"/>
  <c r="L6" i="20"/>
  <c r="K6" i="20"/>
  <c r="J6" i="20"/>
  <c r="I6" i="20"/>
  <c r="P5" i="20"/>
  <c r="O5" i="20"/>
  <c r="N5" i="20"/>
  <c r="M5" i="20"/>
  <c r="L5" i="20"/>
  <c r="K5" i="20"/>
  <c r="J5" i="20"/>
  <c r="I5" i="20"/>
  <c r="C5" i="20"/>
  <c r="D5" i="20" s="1"/>
  <c r="P4" i="20"/>
  <c r="O4" i="20"/>
  <c r="N4" i="20"/>
  <c r="M4" i="20"/>
  <c r="L4" i="20"/>
  <c r="K4" i="20"/>
  <c r="J4" i="20"/>
  <c r="I4" i="20"/>
  <c r="P3" i="20"/>
  <c r="O3" i="20"/>
  <c r="N3" i="20"/>
  <c r="M3" i="20"/>
  <c r="L3" i="20"/>
  <c r="K3" i="20"/>
  <c r="J3" i="20"/>
  <c r="I3" i="20"/>
  <c r="P2" i="20"/>
  <c r="O2" i="20"/>
  <c r="N2" i="20"/>
  <c r="M2" i="20"/>
  <c r="L2" i="20"/>
  <c r="K2" i="20"/>
  <c r="J2" i="20"/>
  <c r="I2" i="20"/>
  <c r="P1" i="20"/>
  <c r="O1" i="20"/>
  <c r="N1" i="20"/>
  <c r="M1" i="20"/>
  <c r="L1" i="20"/>
  <c r="K1" i="20"/>
  <c r="J1" i="20"/>
  <c r="I1" i="20"/>
  <c r="P26" i="25"/>
  <c r="O26" i="25"/>
  <c r="N26" i="25"/>
  <c r="M26" i="25"/>
  <c r="L26" i="25"/>
  <c r="K26" i="25"/>
  <c r="J26" i="25"/>
  <c r="I26" i="25"/>
  <c r="P25" i="25"/>
  <c r="O25" i="25"/>
  <c r="N25" i="25"/>
  <c r="M25" i="25"/>
  <c r="L25" i="25"/>
  <c r="K25" i="25"/>
  <c r="J25" i="25"/>
  <c r="I25" i="25"/>
  <c r="P24" i="25"/>
  <c r="O24" i="25"/>
  <c r="N24" i="25"/>
  <c r="M24" i="25"/>
  <c r="L24" i="25"/>
  <c r="K24" i="25"/>
  <c r="J24" i="25"/>
  <c r="I24" i="25"/>
  <c r="P23" i="25"/>
  <c r="O23" i="25"/>
  <c r="N23" i="25"/>
  <c r="M23" i="25"/>
  <c r="L23" i="25"/>
  <c r="K23" i="25"/>
  <c r="J23" i="25"/>
  <c r="I23" i="25"/>
  <c r="P22" i="25"/>
  <c r="O22" i="25"/>
  <c r="N22" i="25"/>
  <c r="M22" i="25"/>
  <c r="L22" i="25"/>
  <c r="K22" i="25"/>
  <c r="J22" i="25"/>
  <c r="I22" i="25"/>
  <c r="P21" i="25"/>
  <c r="O21" i="25"/>
  <c r="N21" i="25"/>
  <c r="M21" i="25"/>
  <c r="L21" i="25"/>
  <c r="K21" i="25"/>
  <c r="J21" i="25"/>
  <c r="I21" i="25"/>
  <c r="P20" i="25"/>
  <c r="O20" i="25"/>
  <c r="N20" i="25"/>
  <c r="M20" i="25"/>
  <c r="L20" i="25"/>
  <c r="K20" i="25"/>
  <c r="J20" i="25"/>
  <c r="I20" i="25"/>
  <c r="P19" i="25"/>
  <c r="O19" i="25"/>
  <c r="N19" i="25"/>
  <c r="M19" i="25"/>
  <c r="L19" i="25"/>
  <c r="K19" i="25"/>
  <c r="J19" i="25"/>
  <c r="I19" i="25"/>
  <c r="P18" i="25"/>
  <c r="O18" i="25"/>
  <c r="N18" i="25"/>
  <c r="M18" i="25"/>
  <c r="L18" i="25"/>
  <c r="K18" i="25"/>
  <c r="J18" i="25"/>
  <c r="I18" i="25"/>
  <c r="P17" i="25"/>
  <c r="O17" i="25"/>
  <c r="N17" i="25"/>
  <c r="M17" i="25"/>
  <c r="L17" i="25"/>
  <c r="K17" i="25"/>
  <c r="I17" i="25"/>
  <c r="P16" i="25"/>
  <c r="O16" i="25"/>
  <c r="N16" i="25"/>
  <c r="M16" i="25"/>
  <c r="L16" i="25"/>
  <c r="K16" i="25"/>
  <c r="J16" i="25"/>
  <c r="I16" i="25"/>
  <c r="P15" i="25"/>
  <c r="O15" i="25"/>
  <c r="N15" i="25"/>
  <c r="M15" i="25"/>
  <c r="L15" i="25"/>
  <c r="K15" i="25"/>
  <c r="J15" i="25"/>
  <c r="I15" i="25"/>
  <c r="P14" i="25"/>
  <c r="O14" i="25"/>
  <c r="N14" i="25"/>
  <c r="M14" i="25"/>
  <c r="L14" i="25"/>
  <c r="K14" i="25"/>
  <c r="J14" i="25"/>
  <c r="I14" i="25"/>
  <c r="P13" i="25"/>
  <c r="O13" i="25"/>
  <c r="N13" i="25"/>
  <c r="M13" i="25"/>
  <c r="L13" i="25"/>
  <c r="K13" i="25"/>
  <c r="J13" i="25"/>
  <c r="I13" i="25"/>
  <c r="P12" i="25"/>
  <c r="O12" i="25"/>
  <c r="N12" i="25"/>
  <c r="M12" i="25"/>
  <c r="L12" i="25"/>
  <c r="K12" i="25"/>
  <c r="J12" i="25"/>
  <c r="I12" i="25"/>
  <c r="P11" i="25"/>
  <c r="O11" i="25"/>
  <c r="N11" i="25"/>
  <c r="M11" i="25"/>
  <c r="L11" i="25"/>
  <c r="K11" i="25"/>
  <c r="J11" i="25"/>
  <c r="I11" i="25"/>
  <c r="P10" i="25"/>
  <c r="O10" i="25"/>
  <c r="N10" i="25"/>
  <c r="M10" i="25"/>
  <c r="L10" i="25"/>
  <c r="K10" i="25"/>
  <c r="J10" i="25"/>
  <c r="I10" i="25"/>
  <c r="P9" i="25"/>
  <c r="O9" i="25"/>
  <c r="N9" i="25"/>
  <c r="M9" i="25"/>
  <c r="K9" i="25"/>
  <c r="J9" i="25"/>
  <c r="I9" i="25"/>
  <c r="P8" i="25"/>
  <c r="O8" i="25"/>
  <c r="N8" i="25"/>
  <c r="M8" i="25"/>
  <c r="L8" i="25"/>
  <c r="K8" i="25"/>
  <c r="J8" i="25"/>
  <c r="I8" i="25"/>
  <c r="P7" i="25"/>
  <c r="O7" i="25"/>
  <c r="N7" i="25"/>
  <c r="M7" i="25"/>
  <c r="L7" i="25"/>
  <c r="K7" i="25"/>
  <c r="J7" i="25"/>
  <c r="I7" i="25"/>
  <c r="P6" i="25"/>
  <c r="O6" i="25"/>
  <c r="N6" i="25"/>
  <c r="M6" i="25"/>
  <c r="L6" i="25"/>
  <c r="K6" i="25"/>
  <c r="J6" i="25"/>
  <c r="I6" i="25"/>
  <c r="P5" i="25"/>
  <c r="O5" i="25"/>
  <c r="N5" i="25"/>
  <c r="M5" i="25"/>
  <c r="L5" i="25"/>
  <c r="K5" i="25"/>
  <c r="J5" i="25"/>
  <c r="I5" i="25"/>
  <c r="P4" i="25"/>
  <c r="O4" i="25"/>
  <c r="N4" i="25"/>
  <c r="M4" i="25"/>
  <c r="L4" i="25"/>
  <c r="K4" i="25"/>
  <c r="J4" i="25"/>
  <c r="I4" i="25"/>
  <c r="P3" i="25"/>
  <c r="O3" i="25"/>
  <c r="N3" i="25"/>
  <c r="M3" i="25"/>
  <c r="L3" i="25"/>
  <c r="K3" i="25"/>
  <c r="J3" i="25"/>
  <c r="I3" i="25"/>
  <c r="P2" i="25"/>
  <c r="O2" i="25"/>
  <c r="N2" i="25"/>
  <c r="M2" i="25"/>
  <c r="L2" i="25"/>
  <c r="K2" i="25"/>
  <c r="J2" i="25"/>
  <c r="I2" i="25"/>
  <c r="P1" i="25"/>
  <c r="O1" i="25"/>
  <c r="N1" i="25"/>
  <c r="M1" i="25"/>
  <c r="L1" i="25"/>
  <c r="K1" i="25"/>
  <c r="J1" i="25"/>
  <c r="I1" i="25"/>
  <c r="I19" i="24"/>
  <c r="C5" i="24" s="1"/>
  <c r="D5" i="24" s="1"/>
  <c r="P26" i="24"/>
  <c r="O26" i="24"/>
  <c r="N26" i="24"/>
  <c r="M26" i="24"/>
  <c r="L26" i="24"/>
  <c r="K26" i="24"/>
  <c r="J26" i="24"/>
  <c r="I26" i="24"/>
  <c r="P25" i="24"/>
  <c r="O25" i="24"/>
  <c r="N25" i="24"/>
  <c r="M25" i="24"/>
  <c r="L25" i="24"/>
  <c r="K25" i="24"/>
  <c r="J25" i="24"/>
  <c r="I25" i="24"/>
  <c r="P24" i="24"/>
  <c r="O24" i="24"/>
  <c r="N24" i="24"/>
  <c r="M24" i="24"/>
  <c r="L24" i="24"/>
  <c r="K24" i="24"/>
  <c r="J24" i="24"/>
  <c r="I24" i="24"/>
  <c r="P23" i="24"/>
  <c r="O23" i="24"/>
  <c r="N23" i="24"/>
  <c r="M23" i="24"/>
  <c r="L23" i="24"/>
  <c r="K23" i="24"/>
  <c r="J23" i="24"/>
  <c r="I23" i="24"/>
  <c r="P22" i="24"/>
  <c r="O22" i="24"/>
  <c r="N22" i="24"/>
  <c r="M22" i="24"/>
  <c r="L22" i="24"/>
  <c r="K22" i="24"/>
  <c r="J22" i="24"/>
  <c r="I22" i="24"/>
  <c r="P21" i="24"/>
  <c r="O21" i="24"/>
  <c r="N21" i="24"/>
  <c r="M21" i="24"/>
  <c r="L21" i="24"/>
  <c r="K21" i="24"/>
  <c r="J21" i="24"/>
  <c r="I21" i="24"/>
  <c r="P20" i="24"/>
  <c r="O20" i="24"/>
  <c r="N20" i="24"/>
  <c r="M20" i="24"/>
  <c r="L20" i="24"/>
  <c r="K20" i="24"/>
  <c r="J20" i="24"/>
  <c r="I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I18" i="24"/>
  <c r="P17" i="24"/>
  <c r="O17" i="24"/>
  <c r="N17" i="24"/>
  <c r="M17" i="24"/>
  <c r="L17" i="24"/>
  <c r="K17" i="24"/>
  <c r="J17" i="24"/>
  <c r="I17" i="24"/>
  <c r="P16" i="24"/>
  <c r="O16" i="24"/>
  <c r="N16" i="24"/>
  <c r="M16" i="24"/>
  <c r="L16" i="24"/>
  <c r="K16" i="24"/>
  <c r="J16" i="24"/>
  <c r="I16" i="24"/>
  <c r="P15" i="24"/>
  <c r="O15" i="24"/>
  <c r="N15" i="24"/>
  <c r="M15" i="24"/>
  <c r="L15" i="24"/>
  <c r="K15" i="24"/>
  <c r="J15" i="24"/>
  <c r="I15" i="24"/>
  <c r="P14" i="24"/>
  <c r="O14" i="24"/>
  <c r="N14" i="24"/>
  <c r="M14" i="24"/>
  <c r="L14" i="24"/>
  <c r="K14" i="24"/>
  <c r="J14" i="24"/>
  <c r="I14" i="24"/>
  <c r="P13" i="24"/>
  <c r="O13" i="24"/>
  <c r="N13" i="24"/>
  <c r="M13" i="24"/>
  <c r="L13" i="24"/>
  <c r="K13" i="24"/>
  <c r="J13" i="24"/>
  <c r="I13" i="24"/>
  <c r="P12" i="24"/>
  <c r="O12" i="24"/>
  <c r="N12" i="24"/>
  <c r="M12" i="24"/>
  <c r="L12" i="24"/>
  <c r="K12" i="24"/>
  <c r="J12" i="24"/>
  <c r="I12" i="24"/>
  <c r="P11" i="24"/>
  <c r="O11" i="24"/>
  <c r="N11" i="24"/>
  <c r="M11" i="24"/>
  <c r="L11" i="24"/>
  <c r="K11" i="24"/>
  <c r="J11" i="24"/>
  <c r="I11" i="24"/>
  <c r="P10" i="24"/>
  <c r="O10" i="24"/>
  <c r="N10" i="24"/>
  <c r="M10" i="24"/>
  <c r="L10" i="24"/>
  <c r="K10" i="24"/>
  <c r="J10" i="24"/>
  <c r="I10" i="24"/>
  <c r="P9" i="24"/>
  <c r="O9" i="24"/>
  <c r="N9" i="24"/>
  <c r="M9" i="24"/>
  <c r="K9" i="24"/>
  <c r="J9" i="24"/>
  <c r="I9" i="24"/>
  <c r="P8" i="24"/>
  <c r="O8" i="24"/>
  <c r="N8" i="24"/>
  <c r="M8" i="24"/>
  <c r="L8" i="24"/>
  <c r="K8" i="24"/>
  <c r="J8" i="24"/>
  <c r="I8" i="24"/>
  <c r="P7" i="24"/>
  <c r="O7" i="24"/>
  <c r="M7" i="24"/>
  <c r="L7" i="24"/>
  <c r="K7" i="24"/>
  <c r="J7" i="24"/>
  <c r="I7" i="24"/>
  <c r="P6" i="24"/>
  <c r="O6" i="24"/>
  <c r="N6" i="24"/>
  <c r="M6" i="24"/>
  <c r="L6" i="24"/>
  <c r="K6" i="24"/>
  <c r="J6" i="24"/>
  <c r="I6" i="24"/>
  <c r="P5" i="24"/>
  <c r="O5" i="24"/>
  <c r="N5" i="24"/>
  <c r="M5" i="24"/>
  <c r="L5" i="24"/>
  <c r="K5" i="24"/>
  <c r="J5" i="24"/>
  <c r="I5" i="24"/>
  <c r="P4" i="24"/>
  <c r="O4" i="24"/>
  <c r="N4" i="24"/>
  <c r="M4" i="24"/>
  <c r="L4" i="24"/>
  <c r="K4" i="24"/>
  <c r="J4" i="24"/>
  <c r="I4" i="24"/>
  <c r="P3" i="24"/>
  <c r="O3" i="24"/>
  <c r="N3" i="24"/>
  <c r="M3" i="24"/>
  <c r="L3" i="24"/>
  <c r="K3" i="24"/>
  <c r="J3" i="24"/>
  <c r="I3" i="24"/>
  <c r="P2" i="24"/>
  <c r="O2" i="24"/>
  <c r="N2" i="24"/>
  <c r="M2" i="24"/>
  <c r="L2" i="24"/>
  <c r="K2" i="24"/>
  <c r="J2" i="24"/>
  <c r="I2" i="24"/>
  <c r="P1" i="24"/>
  <c r="O1" i="24"/>
  <c r="N1" i="24"/>
  <c r="M1" i="24"/>
  <c r="L1" i="24"/>
  <c r="K1" i="24"/>
  <c r="J1" i="24"/>
  <c r="I1" i="24"/>
  <c r="L11" i="21"/>
  <c r="P26" i="21"/>
  <c r="O26" i="21"/>
  <c r="N26" i="21"/>
  <c r="M26" i="21"/>
  <c r="L26" i="21"/>
  <c r="K26" i="21"/>
  <c r="J26" i="21"/>
  <c r="I26" i="21"/>
  <c r="P25" i="21"/>
  <c r="O25" i="21"/>
  <c r="N25" i="21"/>
  <c r="M25" i="21"/>
  <c r="L25" i="21"/>
  <c r="K25" i="21"/>
  <c r="J25" i="21"/>
  <c r="I25" i="21"/>
  <c r="P24" i="21"/>
  <c r="O24" i="21"/>
  <c r="N24" i="21"/>
  <c r="M24" i="21"/>
  <c r="L24" i="21"/>
  <c r="K24" i="21"/>
  <c r="J24" i="21"/>
  <c r="I24" i="21"/>
  <c r="P23" i="21"/>
  <c r="O23" i="21"/>
  <c r="N23" i="21"/>
  <c r="M23" i="21"/>
  <c r="L23" i="21"/>
  <c r="K23" i="21"/>
  <c r="J23" i="21"/>
  <c r="I23" i="21"/>
  <c r="P22" i="21"/>
  <c r="O22" i="21"/>
  <c r="N22" i="21"/>
  <c r="M22" i="21"/>
  <c r="L22" i="21"/>
  <c r="K22" i="21"/>
  <c r="J22" i="21"/>
  <c r="I22" i="21"/>
  <c r="P21" i="21"/>
  <c r="O21" i="21"/>
  <c r="N21" i="21"/>
  <c r="M21" i="21"/>
  <c r="L21" i="21"/>
  <c r="K21" i="21"/>
  <c r="J21" i="21"/>
  <c r="I21" i="21"/>
  <c r="P20" i="21"/>
  <c r="O20" i="21"/>
  <c r="N20" i="21"/>
  <c r="M20" i="21"/>
  <c r="L20" i="21"/>
  <c r="K20" i="21"/>
  <c r="J20" i="21"/>
  <c r="I20" i="21"/>
  <c r="P19" i="21"/>
  <c r="O19" i="21"/>
  <c r="N19" i="21"/>
  <c r="M19" i="21"/>
  <c r="L19" i="21"/>
  <c r="K19" i="21"/>
  <c r="J19" i="21"/>
  <c r="I19" i="21"/>
  <c r="P18" i="21"/>
  <c r="O18" i="21"/>
  <c r="N18" i="21"/>
  <c r="M18" i="21"/>
  <c r="L18" i="21"/>
  <c r="K18" i="21"/>
  <c r="J18" i="21"/>
  <c r="I18" i="21"/>
  <c r="P17" i="21"/>
  <c r="O17" i="21"/>
  <c r="N17" i="21"/>
  <c r="M17" i="21"/>
  <c r="L17" i="21"/>
  <c r="K17" i="21"/>
  <c r="J17" i="21"/>
  <c r="I17" i="21"/>
  <c r="P16" i="21"/>
  <c r="O16" i="21"/>
  <c r="N16" i="21"/>
  <c r="M16" i="21"/>
  <c r="L16" i="21"/>
  <c r="K16" i="21"/>
  <c r="J16" i="21"/>
  <c r="I16" i="21"/>
  <c r="P15" i="21"/>
  <c r="O15" i="21"/>
  <c r="N15" i="21"/>
  <c r="M15" i="21"/>
  <c r="L15" i="21"/>
  <c r="K15" i="21"/>
  <c r="J15" i="21"/>
  <c r="I15" i="21"/>
  <c r="P14" i="21"/>
  <c r="O14" i="21"/>
  <c r="N14" i="21"/>
  <c r="M14" i="21"/>
  <c r="L14" i="21"/>
  <c r="K14" i="21"/>
  <c r="J14" i="21"/>
  <c r="I14" i="21"/>
  <c r="P13" i="21"/>
  <c r="O13" i="21"/>
  <c r="N13" i="21"/>
  <c r="M13" i="21"/>
  <c r="L13" i="21"/>
  <c r="K13" i="21"/>
  <c r="J13" i="21"/>
  <c r="I13" i="21"/>
  <c r="P12" i="21"/>
  <c r="O12" i="21"/>
  <c r="N12" i="21"/>
  <c r="M12" i="21"/>
  <c r="L12" i="21"/>
  <c r="K12" i="21"/>
  <c r="J12" i="21"/>
  <c r="I12" i="21"/>
  <c r="P11" i="21"/>
  <c r="O11" i="21"/>
  <c r="N11" i="21"/>
  <c r="M11" i="21"/>
  <c r="K11" i="21"/>
  <c r="J11" i="21"/>
  <c r="I11" i="21"/>
  <c r="P10" i="21"/>
  <c r="O10" i="21"/>
  <c r="N10" i="21"/>
  <c r="M10" i="21"/>
  <c r="L10" i="21"/>
  <c r="K10" i="21"/>
  <c r="J10" i="21"/>
  <c r="I10" i="21"/>
  <c r="P9" i="21"/>
  <c r="O9" i="21"/>
  <c r="N9" i="21"/>
  <c r="M9" i="21"/>
  <c r="K9" i="21"/>
  <c r="J9" i="21"/>
  <c r="I9" i="21"/>
  <c r="P8" i="21"/>
  <c r="O8" i="21"/>
  <c r="N8" i="21"/>
  <c r="M8" i="21"/>
  <c r="L8" i="21"/>
  <c r="K8" i="21"/>
  <c r="J8" i="21"/>
  <c r="I8" i="21"/>
  <c r="P7" i="21"/>
  <c r="O7" i="21"/>
  <c r="N7" i="21"/>
  <c r="M7" i="21"/>
  <c r="L7" i="21"/>
  <c r="K7" i="21"/>
  <c r="J7" i="21"/>
  <c r="I7" i="21"/>
  <c r="P6" i="21"/>
  <c r="O6" i="21"/>
  <c r="N6" i="21"/>
  <c r="M6" i="21"/>
  <c r="L6" i="21"/>
  <c r="K6" i="21"/>
  <c r="J6" i="21"/>
  <c r="I6" i="21"/>
  <c r="P5" i="21"/>
  <c r="O5" i="21"/>
  <c r="N5" i="21"/>
  <c r="M5" i="21"/>
  <c r="L5" i="21"/>
  <c r="K5" i="21"/>
  <c r="J5" i="21"/>
  <c r="I5" i="21"/>
  <c r="P4" i="21"/>
  <c r="O4" i="21"/>
  <c r="N4" i="21"/>
  <c r="M4" i="21"/>
  <c r="L4" i="21"/>
  <c r="K4" i="21"/>
  <c r="J4" i="21"/>
  <c r="I4" i="21"/>
  <c r="P3" i="21"/>
  <c r="O3" i="21"/>
  <c r="N3" i="21"/>
  <c r="M3" i="21"/>
  <c r="L3" i="21"/>
  <c r="K3" i="21"/>
  <c r="J3" i="21"/>
  <c r="I3" i="21"/>
  <c r="P2" i="21"/>
  <c r="O2" i="21"/>
  <c r="N2" i="21"/>
  <c r="M2" i="21"/>
  <c r="L2" i="21"/>
  <c r="K2" i="21"/>
  <c r="J2" i="21"/>
  <c r="I2" i="21"/>
  <c r="P1" i="21"/>
  <c r="O1" i="21"/>
  <c r="N1" i="21"/>
  <c r="M1" i="21"/>
  <c r="L1" i="21"/>
  <c r="K1" i="21"/>
  <c r="J1" i="21"/>
  <c r="I1" i="21"/>
  <c r="P1" i="17"/>
  <c r="Q1" i="17"/>
  <c r="R1" i="17"/>
  <c r="S1" i="17"/>
  <c r="P2" i="17"/>
  <c r="Q2" i="17"/>
  <c r="R2" i="17"/>
  <c r="S2" i="17"/>
  <c r="P3" i="17"/>
  <c r="Q3" i="17"/>
  <c r="R3" i="17"/>
  <c r="S3" i="17"/>
  <c r="P4" i="17"/>
  <c r="Q4" i="17"/>
  <c r="R4" i="17"/>
  <c r="S4" i="17"/>
  <c r="H1" i="17"/>
  <c r="I1" i="17"/>
  <c r="J1" i="17"/>
  <c r="L1" i="17"/>
  <c r="M1" i="17"/>
  <c r="N1" i="17"/>
  <c r="U1" i="17"/>
  <c r="V1" i="17"/>
  <c r="W1" i="17"/>
  <c r="H2" i="17"/>
  <c r="I2" i="17"/>
  <c r="J2" i="17"/>
  <c r="L2" i="17"/>
  <c r="M2" i="17"/>
  <c r="N2" i="17"/>
  <c r="U2" i="17"/>
  <c r="V2" i="17"/>
  <c r="W2" i="17"/>
  <c r="P5" i="17"/>
  <c r="Q5" i="17"/>
  <c r="R5" i="17"/>
  <c r="S5" i="17"/>
  <c r="P6" i="17"/>
  <c r="C5" i="17" s="1"/>
  <c r="Q6" i="17"/>
  <c r="R6" i="17"/>
  <c r="S6" i="17"/>
  <c r="AA2" i="9"/>
  <c r="P2" i="11"/>
  <c r="Q2" i="11"/>
  <c r="R2" i="11"/>
  <c r="S2" i="11"/>
  <c r="P3" i="11"/>
  <c r="Q3" i="11"/>
  <c r="R3" i="11"/>
  <c r="S3" i="11"/>
  <c r="P4" i="11"/>
  <c r="Q4" i="11"/>
  <c r="R4" i="11"/>
  <c r="S4" i="11"/>
  <c r="P5" i="11"/>
  <c r="Q5" i="11"/>
  <c r="R5" i="11"/>
  <c r="S5" i="11"/>
  <c r="P6" i="11"/>
  <c r="Q6" i="11"/>
  <c r="R6" i="11"/>
  <c r="S6" i="11"/>
  <c r="Q1" i="11"/>
  <c r="R1" i="11"/>
  <c r="S1" i="11"/>
  <c r="P1" i="11"/>
  <c r="W2" i="11"/>
  <c r="V2" i="11"/>
  <c r="U2" i="11"/>
  <c r="N2" i="11"/>
  <c r="M2" i="11"/>
  <c r="L2" i="11"/>
  <c r="J2" i="11"/>
  <c r="I2" i="11"/>
  <c r="H2" i="11"/>
  <c r="W1" i="11"/>
  <c r="V1" i="11"/>
  <c r="U1" i="11"/>
  <c r="N1" i="11"/>
  <c r="M1" i="11"/>
  <c r="L1" i="11"/>
  <c r="J1" i="11"/>
  <c r="I1" i="11"/>
  <c r="H1" i="11"/>
  <c r="AB2" i="13"/>
  <c r="AA2" i="13"/>
  <c r="Z2" i="13"/>
  <c r="Y2" i="13"/>
  <c r="W2" i="13"/>
  <c r="V2" i="13"/>
  <c r="U2" i="13"/>
  <c r="S2" i="13"/>
  <c r="R2" i="13"/>
  <c r="Q2" i="13"/>
  <c r="P2" i="13"/>
  <c r="N2" i="13"/>
  <c r="M2" i="13"/>
  <c r="L2" i="13"/>
  <c r="J2" i="13"/>
  <c r="I2" i="13"/>
  <c r="H2" i="13"/>
  <c r="AB1" i="13"/>
  <c r="AA1" i="13"/>
  <c r="Z1" i="13"/>
  <c r="Y1" i="13"/>
  <c r="W1" i="13"/>
  <c r="V1" i="13"/>
  <c r="U1" i="13"/>
  <c r="S1" i="13"/>
  <c r="R1" i="13"/>
  <c r="Q1" i="13"/>
  <c r="P1" i="13"/>
  <c r="N1" i="13"/>
  <c r="M1" i="13"/>
  <c r="L1" i="13"/>
  <c r="J1" i="13"/>
  <c r="I1" i="13"/>
  <c r="H1" i="13"/>
  <c r="Y2" i="9"/>
  <c r="Z2" i="9"/>
  <c r="AB2" i="9"/>
  <c r="Z1" i="9"/>
  <c r="AA1" i="9"/>
  <c r="AB1" i="9"/>
  <c r="Y1" i="9"/>
  <c r="U2" i="9"/>
  <c r="V2" i="9"/>
  <c r="W2" i="9"/>
  <c r="V1" i="9"/>
  <c r="W1" i="9"/>
  <c r="U1" i="9"/>
  <c r="P2" i="9"/>
  <c r="C5" i="9" s="1"/>
  <c r="D5" i="9" s="1"/>
  <c r="E5" i="9" s="1"/>
  <c r="F5" i="9" s="1"/>
  <c r="Q2" i="9"/>
  <c r="R2" i="9"/>
  <c r="S2" i="9"/>
  <c r="Q1" i="9"/>
  <c r="R1" i="9"/>
  <c r="S1" i="9"/>
  <c r="P1" i="9"/>
  <c r="N2" i="9"/>
  <c r="M2" i="9"/>
  <c r="L2" i="9"/>
  <c r="J2" i="9"/>
  <c r="I2" i="9"/>
  <c r="H2" i="9"/>
  <c r="N1" i="9"/>
  <c r="M1" i="9"/>
  <c r="L1" i="9"/>
  <c r="J1" i="9"/>
  <c r="I1" i="9"/>
  <c r="H1" i="9"/>
  <c r="AB2" i="4"/>
  <c r="AA2" i="4"/>
  <c r="Z2" i="4"/>
  <c r="Y2" i="4"/>
  <c r="W2" i="4"/>
  <c r="V2" i="4"/>
  <c r="U2" i="4"/>
  <c r="S2" i="4"/>
  <c r="R2" i="4"/>
  <c r="Q2" i="4"/>
  <c r="P2" i="4"/>
  <c r="N2" i="4"/>
  <c r="M2" i="4"/>
  <c r="L2" i="4"/>
  <c r="J2" i="4"/>
  <c r="I2" i="4"/>
  <c r="H2" i="4"/>
  <c r="AB1" i="4"/>
  <c r="AA1" i="4"/>
  <c r="Z1" i="4"/>
  <c r="Y1" i="4"/>
  <c r="W1" i="4"/>
  <c r="V1" i="4"/>
  <c r="U1" i="4"/>
  <c r="S1" i="4"/>
  <c r="R1" i="4"/>
  <c r="Q1" i="4"/>
  <c r="P1" i="4"/>
  <c r="N1" i="4"/>
  <c r="M1" i="4"/>
  <c r="L1" i="4"/>
  <c r="J1" i="4"/>
  <c r="I1" i="4"/>
  <c r="H1" i="4"/>
  <c r="Y2" i="3"/>
  <c r="Z2" i="3"/>
  <c r="AA2" i="3"/>
  <c r="AB2" i="3"/>
  <c r="Z1" i="3"/>
  <c r="AA1" i="3"/>
  <c r="AB1" i="3"/>
  <c r="Y1" i="3"/>
  <c r="U2" i="3"/>
  <c r="V2" i="3"/>
  <c r="W2" i="3"/>
  <c r="V1" i="3"/>
  <c r="W1" i="3"/>
  <c r="U1" i="3"/>
  <c r="P2" i="3"/>
  <c r="Q2" i="3"/>
  <c r="R2" i="3"/>
  <c r="S2" i="3"/>
  <c r="Q1" i="3"/>
  <c r="R1" i="3"/>
  <c r="S1" i="3"/>
  <c r="P1" i="3"/>
  <c r="L2" i="3"/>
  <c r="M2" i="3"/>
  <c r="N2" i="3"/>
  <c r="M1" i="3"/>
  <c r="N1" i="3"/>
  <c r="L1" i="3"/>
  <c r="H2" i="3"/>
  <c r="I2" i="3"/>
  <c r="J2" i="3"/>
  <c r="I1" i="3"/>
  <c r="J1" i="3"/>
  <c r="H1" i="3"/>
  <c r="AB2" i="19"/>
  <c r="AA2" i="19"/>
  <c r="Z2" i="19"/>
  <c r="Y2" i="19"/>
  <c r="AB1" i="19"/>
  <c r="AA1" i="19"/>
  <c r="Z1" i="19"/>
  <c r="Y1" i="19"/>
  <c r="S2" i="19"/>
  <c r="R2" i="19"/>
  <c r="Q2" i="19"/>
  <c r="P2" i="19"/>
  <c r="S1" i="19"/>
  <c r="R1" i="19"/>
  <c r="Q1" i="19"/>
  <c r="P1" i="19"/>
  <c r="Z1" i="7"/>
  <c r="AA1" i="7"/>
  <c r="AB1" i="7"/>
  <c r="Z2" i="7"/>
  <c r="AA2" i="7"/>
  <c r="AB2" i="7"/>
  <c r="Y2" i="7"/>
  <c r="Y1" i="7"/>
  <c r="P2" i="7"/>
  <c r="Q2" i="7"/>
  <c r="R2" i="7"/>
  <c r="S2" i="7"/>
  <c r="Q1" i="7"/>
  <c r="R1" i="7"/>
  <c r="S1" i="7"/>
  <c r="P1" i="7"/>
  <c r="B5" i="11"/>
  <c r="B5" i="13"/>
  <c r="B6" i="13"/>
  <c r="C6" i="13" s="1"/>
  <c r="D6" i="13" s="1"/>
  <c r="E6" i="13" s="1"/>
  <c r="F6" i="13" s="1"/>
  <c r="C5" i="13"/>
  <c r="D5" i="13" s="1"/>
  <c r="E5" i="13" s="1"/>
  <c r="C15" i="11"/>
  <c r="D15" i="11" s="1"/>
  <c r="C10" i="11"/>
  <c r="D10" i="11" s="1"/>
  <c r="B6" i="9"/>
  <c r="B9" i="14"/>
  <c r="B10" i="14"/>
  <c r="B11" i="14"/>
  <c r="B13" i="14"/>
  <c r="B14" i="14"/>
  <c r="B15" i="14"/>
  <c r="B17" i="14"/>
  <c r="B18" i="14"/>
  <c r="B19" i="14"/>
  <c r="B21" i="14"/>
  <c r="B22" i="14"/>
  <c r="B2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A13" i="12"/>
  <c r="B13" i="12"/>
  <c r="A14" i="12"/>
  <c r="B14" i="12"/>
  <c r="A15" i="12"/>
  <c r="B15" i="12"/>
  <c r="A16" i="12"/>
  <c r="A17" i="12"/>
  <c r="B17" i="12"/>
  <c r="A18" i="12"/>
  <c r="B18" i="12"/>
  <c r="A19" i="12"/>
  <c r="B19" i="12"/>
  <c r="A20" i="12"/>
  <c r="A21" i="12"/>
  <c r="B21" i="12"/>
  <c r="A22" i="12"/>
  <c r="B22" i="12"/>
  <c r="A23" i="12"/>
  <c r="B23" i="12"/>
  <c r="A24" i="12"/>
  <c r="B24" i="12"/>
  <c r="C24" i="12"/>
  <c r="A25" i="12"/>
  <c r="B25" i="12"/>
  <c r="A26" i="12"/>
  <c r="B26" i="12"/>
  <c r="A27" i="12"/>
  <c r="B27" i="12"/>
  <c r="A28" i="12"/>
  <c r="A29" i="12"/>
  <c r="A30" i="12"/>
  <c r="A31" i="12"/>
  <c r="A32" i="12"/>
  <c r="A33" i="12"/>
  <c r="A34" i="12"/>
  <c r="A35" i="12"/>
  <c r="B35" i="12"/>
  <c r="C35" i="12"/>
  <c r="D35" i="12"/>
  <c r="E35" i="12"/>
  <c r="F35" i="12"/>
  <c r="A36" i="12"/>
  <c r="B36" i="12"/>
  <c r="C36" i="12"/>
  <c r="D36" i="12"/>
  <c r="E36" i="12"/>
  <c r="F36" i="12"/>
  <c r="A37" i="12"/>
  <c r="B37" i="12"/>
  <c r="C37" i="12"/>
  <c r="D37" i="12"/>
  <c r="E37" i="12"/>
  <c r="F37" i="12"/>
  <c r="A38" i="12"/>
  <c r="B38" i="12"/>
  <c r="C38" i="12"/>
  <c r="D38" i="12"/>
  <c r="E38" i="12"/>
  <c r="F38" i="12"/>
  <c r="B5" i="12"/>
  <c r="E8" i="25" l="1"/>
  <c r="E9" i="25" s="1"/>
  <c r="E12" i="25"/>
  <c r="E13" i="25" s="1"/>
  <c r="E5" i="21"/>
  <c r="C6" i="21"/>
  <c r="D6" i="21" s="1"/>
  <c r="E6" i="21" s="1"/>
  <c r="E11" i="21" s="1"/>
  <c r="F11" i="21" s="1"/>
  <c r="E12" i="21" s="1"/>
  <c r="F12" i="21" s="1"/>
  <c r="E13" i="21" s="1"/>
  <c r="F13" i="21" s="1"/>
  <c r="E14" i="21" s="1"/>
  <c r="E5" i="24"/>
  <c r="F5" i="24" s="1"/>
  <c r="B6" i="24"/>
  <c r="C6" i="24" s="1"/>
  <c r="D6" i="24" s="1"/>
  <c r="C6" i="9"/>
  <c r="D6" i="9" s="1"/>
  <c r="E6" i="9" s="1"/>
  <c r="F6" i="9" s="1"/>
  <c r="B6" i="20"/>
  <c r="C6" i="20" s="1"/>
  <c r="D6" i="20" s="1"/>
  <c r="E6" i="20" s="1"/>
  <c r="E5" i="20"/>
  <c r="D5" i="17"/>
  <c r="B6" i="17" s="1"/>
  <c r="C6" i="17" s="1"/>
  <c r="D6" i="17" s="1"/>
  <c r="B7" i="17" s="1"/>
  <c r="C7" i="17" s="1"/>
  <c r="D7" i="17" s="1"/>
  <c r="E7" i="17" s="1"/>
  <c r="F7" i="17" s="1"/>
  <c r="F5" i="13"/>
  <c r="B7" i="13"/>
  <c r="B11" i="11"/>
  <c r="C11" i="11" s="1"/>
  <c r="D11" i="11" s="1"/>
  <c r="E10" i="11"/>
  <c r="F10" i="11" s="1"/>
  <c r="B16" i="11"/>
  <c r="C16" i="11" s="1"/>
  <c r="D16" i="11" s="1"/>
  <c r="E15" i="11"/>
  <c r="F15" i="11" s="1"/>
  <c r="B7" i="9"/>
  <c r="F13" i="25" l="1"/>
  <c r="E14" i="25" s="1"/>
  <c r="F14" i="25" s="1"/>
  <c r="F9" i="25"/>
  <c r="E10" i="25" s="1"/>
  <c r="F10" i="25" s="1"/>
  <c r="E7" i="21"/>
  <c r="F5" i="20"/>
  <c r="F25" i="20" s="1"/>
  <c r="E25" i="20"/>
  <c r="F6" i="20"/>
  <c r="E26" i="20"/>
  <c r="E5" i="17"/>
  <c r="F5" i="17" s="1"/>
  <c r="E15" i="21"/>
  <c r="E6" i="24"/>
  <c r="F6" i="24" s="1"/>
  <c r="B22" i="24"/>
  <c r="C22" i="24" s="1"/>
  <c r="D22" i="24" s="1"/>
  <c r="E22" i="24" s="1"/>
  <c r="F22" i="24" s="1"/>
  <c r="C7" i="24"/>
  <c r="E6" i="17"/>
  <c r="F6" i="17" s="1"/>
  <c r="B8" i="17"/>
  <c r="C8" i="17" s="1"/>
  <c r="D8" i="17" s="1"/>
  <c r="B17" i="11"/>
  <c r="C17" i="11" s="1"/>
  <c r="D17" i="11" s="1"/>
  <c r="E17" i="11" s="1"/>
  <c r="F17" i="11" s="1"/>
  <c r="E16" i="11"/>
  <c r="F16" i="11" s="1"/>
  <c r="B12" i="11"/>
  <c r="C12" i="11" s="1"/>
  <c r="D12" i="11" s="1"/>
  <c r="E11" i="11"/>
  <c r="F11" i="11" s="1"/>
  <c r="B8" i="9"/>
  <c r="C7" i="9"/>
  <c r="D7" i="9" s="1"/>
  <c r="E7" i="9" s="1"/>
  <c r="F7" i="9" s="1"/>
  <c r="A2" i="14"/>
  <c r="B2" i="14"/>
  <c r="C2" i="14"/>
  <c r="D2" i="14"/>
  <c r="E2" i="14"/>
  <c r="F2" i="14"/>
  <c r="A3" i="14"/>
  <c r="B3" i="14"/>
  <c r="C3" i="14"/>
  <c r="D3" i="14"/>
  <c r="E3" i="14"/>
  <c r="F3" i="14"/>
  <c r="A4" i="14"/>
  <c r="B4" i="14"/>
  <c r="C4" i="14"/>
  <c r="D4" i="14"/>
  <c r="E4" i="14"/>
  <c r="F4" i="14"/>
  <c r="A5" i="14"/>
  <c r="B1" i="14"/>
  <c r="C1" i="14"/>
  <c r="D1" i="14"/>
  <c r="E1" i="14"/>
  <c r="F1" i="14"/>
  <c r="A1" i="14"/>
  <c r="B1" i="12"/>
  <c r="B2" i="12"/>
  <c r="B3" i="12"/>
  <c r="B4" i="12"/>
  <c r="C4" i="12"/>
  <c r="D4" i="12"/>
  <c r="E4" i="12"/>
  <c r="F4" i="12"/>
  <c r="A2" i="12"/>
  <c r="A3" i="12"/>
  <c r="A4" i="12"/>
  <c r="A5" i="12"/>
  <c r="A1" i="12"/>
  <c r="C7" i="20" l="1"/>
  <c r="D7" i="20" s="1"/>
  <c r="E7" i="20" s="1"/>
  <c r="F7" i="20" s="1"/>
  <c r="C8" i="20" s="1"/>
  <c r="D8" i="20" s="1"/>
  <c r="E8" i="20" s="1"/>
  <c r="F8" i="20" s="1"/>
  <c r="C9" i="20" s="1"/>
  <c r="D9" i="20" s="1"/>
  <c r="E9" i="20" s="1"/>
  <c r="F9" i="20" s="1"/>
  <c r="B10" i="20" s="1"/>
  <c r="F26" i="20"/>
  <c r="F7" i="21"/>
  <c r="D7" i="24"/>
  <c r="E7" i="24" s="1"/>
  <c r="F7" i="24" s="1"/>
  <c r="C8" i="24" s="1"/>
  <c r="E19" i="21"/>
  <c r="B9" i="17"/>
  <c r="C9" i="17" s="1"/>
  <c r="D9" i="17" s="1"/>
  <c r="E8" i="17"/>
  <c r="F8" i="17" s="1"/>
  <c r="C7" i="13"/>
  <c r="D7" i="13" s="1"/>
  <c r="E12" i="11"/>
  <c r="F12" i="11" s="1"/>
  <c r="B13" i="11"/>
  <c r="C13" i="11" s="1"/>
  <c r="D13" i="11" s="1"/>
  <c r="E13" i="11" s="1"/>
  <c r="C8" i="9"/>
  <c r="D8" i="9" s="1"/>
  <c r="E8" i="9" s="1"/>
  <c r="B25" i="9"/>
  <c r="E53" i="1"/>
  <c r="E47" i="1"/>
  <c r="E42" i="1"/>
  <c r="E52" i="1"/>
  <c r="E57" i="1"/>
  <c r="E56" i="1"/>
  <c r="E58" i="1" s="1"/>
  <c r="E51" i="1"/>
  <c r="E50" i="1"/>
  <c r="E46" i="1"/>
  <c r="E45" i="1"/>
  <c r="E41" i="1"/>
  <c r="E40" i="1"/>
  <c r="T29" i="1"/>
  <c r="T28" i="1"/>
  <c r="T27" i="1"/>
  <c r="U27" i="1" s="1"/>
  <c r="T26" i="1"/>
  <c r="T25" i="1"/>
  <c r="U25" i="1" s="1"/>
  <c r="T21" i="1"/>
  <c r="T20" i="1"/>
  <c r="T19" i="1"/>
  <c r="T18" i="1"/>
  <c r="T17" i="1"/>
  <c r="T11" i="1"/>
  <c r="T12" i="1"/>
  <c r="T13" i="1"/>
  <c r="T14" i="1"/>
  <c r="T10" i="1"/>
  <c r="E35" i="1"/>
  <c r="E34" i="1"/>
  <c r="E33" i="1"/>
  <c r="E32" i="1"/>
  <c r="E28" i="1"/>
  <c r="E27" i="1"/>
  <c r="E26" i="1"/>
  <c r="E25" i="1"/>
  <c r="E13" i="1"/>
  <c r="E12" i="1"/>
  <c r="E11" i="1"/>
  <c r="E10" i="1"/>
  <c r="E18" i="1"/>
  <c r="E19" i="1"/>
  <c r="E20" i="1"/>
  <c r="E17" i="1"/>
  <c r="C5" i="7"/>
  <c r="D5" i="7" s="1"/>
  <c r="B6" i="3"/>
  <c r="C5" i="3"/>
  <c r="C5" i="12" s="1"/>
  <c r="F15" i="21" l="1"/>
  <c r="E8" i="21"/>
  <c r="C10" i="20"/>
  <c r="D10" i="20" s="1"/>
  <c r="E10" i="20" s="1"/>
  <c r="B22" i="20"/>
  <c r="C22" i="20" s="1"/>
  <c r="D22" i="20" s="1"/>
  <c r="E22" i="20" s="1"/>
  <c r="B10" i="24"/>
  <c r="C10" i="24" s="1"/>
  <c r="D10" i="24" s="1"/>
  <c r="D8" i="24"/>
  <c r="E8" i="24" s="1"/>
  <c r="F8" i="24" s="1"/>
  <c r="C9" i="24" s="1"/>
  <c r="D9" i="24" s="1"/>
  <c r="E9" i="24" s="1"/>
  <c r="F9" i="24" s="1"/>
  <c r="F19" i="21"/>
  <c r="E20" i="21"/>
  <c r="E9" i="17"/>
  <c r="F9" i="17" s="1"/>
  <c r="E7" i="13"/>
  <c r="B8" i="13"/>
  <c r="C8" i="13" s="1"/>
  <c r="D8" i="13" s="1"/>
  <c r="F7" i="13"/>
  <c r="B14" i="11"/>
  <c r="C14" i="11" s="1"/>
  <c r="D14" i="11" s="1"/>
  <c r="C5" i="11"/>
  <c r="D5" i="11" s="1"/>
  <c r="C25" i="9"/>
  <c r="D25" i="9" s="1"/>
  <c r="E25" i="9" s="1"/>
  <c r="F25" i="9" s="1"/>
  <c r="B26" i="9"/>
  <c r="C9" i="9"/>
  <c r="D9" i="9" s="1"/>
  <c r="E9" i="9" s="1"/>
  <c r="F9" i="9" s="1"/>
  <c r="C10" i="9" s="1"/>
  <c r="D10" i="9" s="1"/>
  <c r="E10" i="9" s="1"/>
  <c r="F10" i="9" s="1"/>
  <c r="C11" i="9" s="1"/>
  <c r="D11" i="9" s="1"/>
  <c r="E11" i="9" s="1"/>
  <c r="F11" i="9" s="1"/>
  <c r="F8" i="9"/>
  <c r="D5" i="3"/>
  <c r="D5" i="12" s="1"/>
  <c r="B7" i="3"/>
  <c r="B6" i="7"/>
  <c r="C6" i="7" s="1"/>
  <c r="D6" i="7" s="1"/>
  <c r="B7" i="7" s="1"/>
  <c r="C7" i="7" s="1"/>
  <c r="D7" i="7" s="1"/>
  <c r="E7" i="7" s="1"/>
  <c r="E5" i="7"/>
  <c r="B8" i="3"/>
  <c r="C6" i="3"/>
  <c r="C6" i="12" s="1"/>
  <c r="E16" i="21" l="1"/>
  <c r="F8" i="21"/>
  <c r="F22" i="20"/>
  <c r="F28" i="20" s="1"/>
  <c r="E28" i="20"/>
  <c r="F10" i="20"/>
  <c r="E27" i="20"/>
  <c r="E10" i="24"/>
  <c r="F10" i="24" s="1"/>
  <c r="C11" i="24" s="1"/>
  <c r="D11" i="24" s="1"/>
  <c r="E11" i="24" s="1"/>
  <c r="F11" i="24" s="1"/>
  <c r="C12" i="24" s="1"/>
  <c r="D12" i="24" s="1"/>
  <c r="E12" i="24" s="1"/>
  <c r="F12" i="24" s="1"/>
  <c r="C13" i="24" s="1"/>
  <c r="D13" i="24" s="1"/>
  <c r="E13" i="24" s="1"/>
  <c r="F13" i="24" s="1"/>
  <c r="F20" i="21"/>
  <c r="E21" i="21"/>
  <c r="E22" i="21"/>
  <c r="E8" i="13"/>
  <c r="B25" i="13"/>
  <c r="C5" i="19"/>
  <c r="D5" i="19" s="1"/>
  <c r="B6" i="11"/>
  <c r="C6" i="11" s="1"/>
  <c r="D6" i="11" s="1"/>
  <c r="E5" i="11"/>
  <c r="F5" i="11" s="1"/>
  <c r="B27" i="9"/>
  <c r="C27" i="9" s="1"/>
  <c r="D27" i="9" s="1"/>
  <c r="B31" i="9" s="1"/>
  <c r="C26" i="9"/>
  <c r="D26" i="9" s="1"/>
  <c r="E26" i="9" s="1"/>
  <c r="F26" i="9" s="1"/>
  <c r="D6" i="3"/>
  <c r="D6" i="12" s="1"/>
  <c r="C7" i="3"/>
  <c r="C7" i="12" s="1"/>
  <c r="E5" i="3"/>
  <c r="E5" i="12" s="1"/>
  <c r="F5" i="7"/>
  <c r="F7" i="7"/>
  <c r="B8" i="7"/>
  <c r="C8" i="7" s="1"/>
  <c r="D8" i="7" s="1"/>
  <c r="E6" i="7"/>
  <c r="C8" i="3"/>
  <c r="C8" i="12" s="1"/>
  <c r="B25" i="3"/>
  <c r="F16" i="21" l="1"/>
  <c r="E9" i="21"/>
  <c r="C11" i="20"/>
  <c r="D11" i="20" s="1"/>
  <c r="E11" i="20" s="1"/>
  <c r="F11" i="20" s="1"/>
  <c r="C12" i="20" s="1"/>
  <c r="D12" i="20" s="1"/>
  <c r="E12" i="20" s="1"/>
  <c r="F12" i="20" s="1"/>
  <c r="C13" i="20" s="1"/>
  <c r="D13" i="20" s="1"/>
  <c r="E13" i="20" s="1"/>
  <c r="F13" i="20" s="1"/>
  <c r="B14" i="20" s="1"/>
  <c r="F27" i="20"/>
  <c r="F21" i="21"/>
  <c r="F22" i="21"/>
  <c r="B26" i="13"/>
  <c r="C25" i="13"/>
  <c r="D25" i="13" s="1"/>
  <c r="E25" i="13" s="1"/>
  <c r="F25" i="13" s="1"/>
  <c r="F8" i="13"/>
  <c r="C9" i="13"/>
  <c r="D9" i="13" s="1"/>
  <c r="E9" i="13" s="1"/>
  <c r="F9" i="13" s="1"/>
  <c r="C10" i="13" s="1"/>
  <c r="D10" i="13" s="1"/>
  <c r="E10" i="13" s="1"/>
  <c r="F10" i="13" s="1"/>
  <c r="C11" i="13" s="1"/>
  <c r="D11" i="13" s="1"/>
  <c r="E11" i="13" s="1"/>
  <c r="F11" i="13" s="1"/>
  <c r="E5" i="19"/>
  <c r="F5" i="19" s="1"/>
  <c r="B6" i="19"/>
  <c r="C6" i="19" s="1"/>
  <c r="D6" i="19" s="1"/>
  <c r="B7" i="11"/>
  <c r="C7" i="11" s="1"/>
  <c r="D7" i="11" s="1"/>
  <c r="E7" i="11" s="1"/>
  <c r="E6" i="11"/>
  <c r="F6" i="11" s="1"/>
  <c r="E27" i="9"/>
  <c r="F27" i="9" s="1"/>
  <c r="D7" i="3"/>
  <c r="D7" i="12" s="1"/>
  <c r="F5" i="3"/>
  <c r="F5" i="12" s="1"/>
  <c r="D8" i="3"/>
  <c r="D8" i="12" s="1"/>
  <c r="E6" i="3"/>
  <c r="E6" i="12" s="1"/>
  <c r="F6" i="7"/>
  <c r="E8" i="7"/>
  <c r="B9" i="7"/>
  <c r="C9" i="7" s="1"/>
  <c r="D9" i="7" s="1"/>
  <c r="B26" i="3"/>
  <c r="C25" i="3"/>
  <c r="C25" i="12" s="1"/>
  <c r="F9" i="21" l="1"/>
  <c r="E17" i="21"/>
  <c r="B23" i="20"/>
  <c r="C23" i="20" s="1"/>
  <c r="D23" i="20" s="1"/>
  <c r="E23" i="20" s="1"/>
  <c r="C14" i="20"/>
  <c r="D14" i="20" s="1"/>
  <c r="E14" i="20" s="1"/>
  <c r="B14" i="24"/>
  <c r="E6" i="19"/>
  <c r="F6" i="19" s="1"/>
  <c r="B7" i="19"/>
  <c r="B27" i="13"/>
  <c r="C27" i="13" s="1"/>
  <c r="D27" i="13" s="1"/>
  <c r="B31" i="13" s="1"/>
  <c r="C26" i="13"/>
  <c r="D26" i="13" s="1"/>
  <c r="E26" i="13" s="1"/>
  <c r="F26" i="13" s="1"/>
  <c r="B8" i="11"/>
  <c r="C8" i="11" s="1"/>
  <c r="D8" i="11" s="1"/>
  <c r="E8" i="3"/>
  <c r="E8" i="12" s="1"/>
  <c r="F6" i="3"/>
  <c r="F6" i="12" s="1"/>
  <c r="D25" i="3"/>
  <c r="D25" i="12" s="1"/>
  <c r="E7" i="3"/>
  <c r="E7" i="12" s="1"/>
  <c r="F8" i="7"/>
  <c r="E9" i="7"/>
  <c r="C26" i="3"/>
  <c r="C26" i="12" s="1"/>
  <c r="B27" i="3"/>
  <c r="E10" i="21" l="1"/>
  <c r="F17" i="21"/>
  <c r="C14" i="24"/>
  <c r="D14" i="24" s="1"/>
  <c r="B23" i="24"/>
  <c r="C23" i="24" s="1"/>
  <c r="D23" i="24" s="1"/>
  <c r="E23" i="24" s="1"/>
  <c r="F23" i="24" s="1"/>
  <c r="F14" i="20"/>
  <c r="E29" i="20"/>
  <c r="F23" i="20"/>
  <c r="F30" i="20" s="1"/>
  <c r="E30" i="20"/>
  <c r="E14" i="24"/>
  <c r="F14" i="24" s="1"/>
  <c r="C15" i="24" s="1"/>
  <c r="D15" i="24" s="1"/>
  <c r="E15" i="24" s="1"/>
  <c r="F15" i="24" s="1"/>
  <c r="C16" i="24" s="1"/>
  <c r="D16" i="24" s="1"/>
  <c r="E16" i="24" s="1"/>
  <c r="F16" i="24" s="1"/>
  <c r="C17" i="24" s="1"/>
  <c r="D17" i="24" s="1"/>
  <c r="E17" i="24" s="1"/>
  <c r="F17" i="24" s="1"/>
  <c r="E8" i="11"/>
  <c r="F8" i="11" s="1"/>
  <c r="B9" i="11"/>
  <c r="C9" i="11" s="1"/>
  <c r="D9" i="11" s="1"/>
  <c r="E9" i="11" s="1"/>
  <c r="F9" i="11" s="1"/>
  <c r="E27" i="13"/>
  <c r="F27" i="13" s="1"/>
  <c r="C7" i="19"/>
  <c r="D7" i="19" s="1"/>
  <c r="E7" i="19" s="1"/>
  <c r="F7" i="11"/>
  <c r="E25" i="3"/>
  <c r="E25" i="12" s="1"/>
  <c r="D26" i="3"/>
  <c r="D26" i="12" s="1"/>
  <c r="C9" i="3"/>
  <c r="C9" i="12" s="1"/>
  <c r="F8" i="3"/>
  <c r="F8" i="12" s="1"/>
  <c r="F7" i="3"/>
  <c r="F7" i="12" s="1"/>
  <c r="C27" i="3"/>
  <c r="C27" i="12" s="1"/>
  <c r="F9" i="7"/>
  <c r="F18" i="21" l="1"/>
  <c r="E18" i="21"/>
  <c r="C15" i="20"/>
  <c r="D15" i="20" s="1"/>
  <c r="E15" i="20" s="1"/>
  <c r="F15" i="20" s="1"/>
  <c r="C16" i="20" s="1"/>
  <c r="D16" i="20" s="1"/>
  <c r="E16" i="20" s="1"/>
  <c r="F16" i="20" s="1"/>
  <c r="C17" i="20" s="1"/>
  <c r="D17" i="20" s="1"/>
  <c r="E17" i="20" s="1"/>
  <c r="F17" i="20" s="1"/>
  <c r="B18" i="20" s="1"/>
  <c r="F29" i="20"/>
  <c r="B18" i="24"/>
  <c r="B8" i="19"/>
  <c r="C8" i="19" s="1"/>
  <c r="D8" i="19" s="1"/>
  <c r="F7" i="19"/>
  <c r="E26" i="3"/>
  <c r="E26" i="12" s="1"/>
  <c r="D27" i="3"/>
  <c r="D9" i="3"/>
  <c r="D9" i="12" s="1"/>
  <c r="F25" i="3"/>
  <c r="F25" i="12" s="1"/>
  <c r="D27" i="12" l="1"/>
  <c r="B31" i="3"/>
  <c r="C18" i="24"/>
  <c r="D18" i="24" s="1"/>
  <c r="E18" i="24" s="1"/>
  <c r="F18" i="24" s="1"/>
  <c r="C19" i="24" s="1"/>
  <c r="D19" i="24" s="1"/>
  <c r="E19" i="24" s="1"/>
  <c r="F19" i="24" s="1"/>
  <c r="C20" i="24" s="1"/>
  <c r="D20" i="24" s="1"/>
  <c r="E20" i="24" s="1"/>
  <c r="F20" i="24" s="1"/>
  <c r="C21" i="24" s="1"/>
  <c r="D21" i="24" s="1"/>
  <c r="E21" i="24" s="1"/>
  <c r="F21" i="24" s="1"/>
  <c r="B24" i="24"/>
  <c r="C24" i="24" s="1"/>
  <c r="D24" i="24" s="1"/>
  <c r="E24" i="24" s="1"/>
  <c r="F24" i="24" s="1"/>
  <c r="C18" i="20"/>
  <c r="D18" i="20" s="1"/>
  <c r="E18" i="20" s="1"/>
  <c r="B24" i="20"/>
  <c r="C24" i="20" s="1"/>
  <c r="D24" i="20" s="1"/>
  <c r="E24" i="20" s="1"/>
  <c r="E8" i="19"/>
  <c r="F8" i="19" s="1"/>
  <c r="B9" i="19"/>
  <c r="C9" i="19" s="1"/>
  <c r="D9" i="19" s="1"/>
  <c r="C31" i="9"/>
  <c r="D31" i="9" s="1"/>
  <c r="B12" i="9" s="1"/>
  <c r="E9" i="3"/>
  <c r="E9" i="12" s="1"/>
  <c r="E27" i="3"/>
  <c r="E27" i="12" s="1"/>
  <c r="F26" i="3"/>
  <c r="F26" i="12" s="1"/>
  <c r="F18" i="20" l="1"/>
  <c r="E31" i="20"/>
  <c r="F24" i="20"/>
  <c r="F32" i="20" s="1"/>
  <c r="E32" i="20"/>
  <c r="B10" i="19"/>
  <c r="C10" i="19" s="1"/>
  <c r="D10" i="19" s="1"/>
  <c r="E9" i="19"/>
  <c r="F9" i="19" s="1"/>
  <c r="E31" i="9"/>
  <c r="F31" i="9" s="1"/>
  <c r="F27" i="3"/>
  <c r="F27" i="12" s="1"/>
  <c r="F9" i="3"/>
  <c r="F9" i="12" s="1"/>
  <c r="E10" i="19" l="1"/>
  <c r="B11" i="19"/>
  <c r="C19" i="20"/>
  <c r="D19" i="20" s="1"/>
  <c r="E19" i="20" s="1"/>
  <c r="F19" i="20" s="1"/>
  <c r="C20" i="20" s="1"/>
  <c r="D20" i="20" s="1"/>
  <c r="E20" i="20" s="1"/>
  <c r="F20" i="20" s="1"/>
  <c r="C21" i="20" s="1"/>
  <c r="D21" i="20" s="1"/>
  <c r="E21" i="20" s="1"/>
  <c r="F21" i="20" s="1"/>
  <c r="F31" i="20"/>
  <c r="C11" i="19"/>
  <c r="D11" i="19" s="1"/>
  <c r="E11" i="19" s="1"/>
  <c r="F10" i="19"/>
  <c r="E15" i="19" s="1"/>
  <c r="F15" i="19" s="1"/>
  <c r="C10" i="3"/>
  <c r="C10" i="12" s="1"/>
  <c r="B12" i="19" l="1"/>
  <c r="C12" i="19" s="1"/>
  <c r="D12" i="19" s="1"/>
  <c r="F11" i="19"/>
  <c r="D10" i="3"/>
  <c r="D10" i="12" s="1"/>
  <c r="E12" i="19" l="1"/>
  <c r="B13" i="19"/>
  <c r="F12" i="19"/>
  <c r="E10" i="3"/>
  <c r="E10" i="12" s="1"/>
  <c r="C13" i="19" l="1"/>
  <c r="D13" i="19" s="1"/>
  <c r="F10" i="3"/>
  <c r="F10" i="12" s="1"/>
  <c r="B14" i="19" l="1"/>
  <c r="C14" i="19" s="1"/>
  <c r="D14" i="19" s="1"/>
  <c r="E14" i="19" s="1"/>
  <c r="E13" i="19"/>
  <c r="F13" i="19" s="1"/>
  <c r="C11" i="3"/>
  <c r="C11" i="12" s="1"/>
  <c r="F14" i="19" l="1"/>
  <c r="E16" i="19" s="1"/>
  <c r="F16" i="19" s="1"/>
  <c r="D11" i="3"/>
  <c r="D11" i="12" l="1"/>
  <c r="E11" i="3"/>
  <c r="E11" i="12" s="1"/>
  <c r="F11" i="3" l="1"/>
  <c r="F11" i="12" s="1"/>
  <c r="B31" i="12" l="1"/>
  <c r="C31" i="3" l="1"/>
  <c r="C31" i="12" s="1"/>
  <c r="D31" i="3" l="1"/>
  <c r="D31" i="12" l="1"/>
  <c r="E31" i="3"/>
  <c r="B12" i="3"/>
  <c r="E31" i="12"/>
  <c r="B12" i="12" l="1"/>
  <c r="C12" i="3"/>
  <c r="B29" i="3"/>
  <c r="F31" i="3"/>
  <c r="F31" i="12" s="1"/>
  <c r="B29" i="12" l="1"/>
  <c r="C29" i="3"/>
  <c r="B30" i="3"/>
  <c r="C12" i="12"/>
  <c r="D12" i="3"/>
  <c r="C29" i="12" l="1"/>
  <c r="D29" i="3"/>
  <c r="D12" i="12"/>
  <c r="E12" i="3"/>
  <c r="B30" i="12"/>
  <c r="C30" i="3"/>
  <c r="C30" i="12" l="1"/>
  <c r="D30" i="3"/>
  <c r="D29" i="12"/>
  <c r="E29" i="3"/>
  <c r="E12" i="12"/>
  <c r="F12" i="3"/>
  <c r="F12" i="12" s="1"/>
  <c r="C13" i="3"/>
  <c r="C13" i="12" l="1"/>
  <c r="D13" i="3"/>
  <c r="D30" i="12"/>
  <c r="B28" i="3"/>
  <c r="E30" i="3"/>
  <c r="E29" i="12"/>
  <c r="F29" i="3"/>
  <c r="F29" i="12" s="1"/>
  <c r="E30" i="12" l="1"/>
  <c r="F30" i="3"/>
  <c r="F30" i="12" s="1"/>
  <c r="C28" i="3"/>
  <c r="B28" i="12"/>
  <c r="D13" i="12"/>
  <c r="E13" i="3"/>
  <c r="C28" i="12" l="1"/>
  <c r="D28" i="3"/>
  <c r="E13" i="12"/>
  <c r="F13" i="3"/>
  <c r="D28" i="12" l="1"/>
  <c r="E28" i="3"/>
  <c r="F13" i="12"/>
  <c r="C14" i="3"/>
  <c r="C14" i="12" l="1"/>
  <c r="D14" i="3"/>
  <c r="F28" i="3"/>
  <c r="F28" i="12" s="1"/>
  <c r="E28" i="12"/>
  <c r="D14" i="12" l="1"/>
  <c r="E14" i="3"/>
  <c r="E14" i="12" l="1"/>
  <c r="F14" i="3"/>
  <c r="F14" i="12" l="1"/>
  <c r="C15" i="3"/>
  <c r="C15" i="12" l="1"/>
  <c r="D15" i="3"/>
  <c r="D15" i="12" l="1"/>
  <c r="E15" i="3"/>
  <c r="E15" i="12" l="1"/>
  <c r="F15" i="3"/>
  <c r="F15" i="12" l="1"/>
  <c r="B16" i="3"/>
  <c r="C16" i="3" l="1"/>
  <c r="B16" i="12"/>
  <c r="D16" i="3" l="1"/>
  <c r="C16" i="12"/>
  <c r="D16" i="12" l="1"/>
  <c r="E16" i="3"/>
  <c r="B32" i="3"/>
  <c r="C32" i="3" l="1"/>
  <c r="B33" i="3"/>
  <c r="B32" i="12"/>
  <c r="E16" i="12"/>
  <c r="C17" i="3"/>
  <c r="F16" i="3"/>
  <c r="F16" i="12" s="1"/>
  <c r="C17" i="12" l="1"/>
  <c r="D17" i="3"/>
  <c r="B33" i="12"/>
  <c r="C33" i="3"/>
  <c r="D32" i="3"/>
  <c r="C32" i="12"/>
  <c r="D17" i="12" l="1"/>
  <c r="E17" i="3"/>
  <c r="E32" i="3"/>
  <c r="D32" i="12"/>
  <c r="C33" i="12"/>
  <c r="D33" i="3"/>
  <c r="F32" i="3" l="1"/>
  <c r="F32" i="12" s="1"/>
  <c r="E32" i="12"/>
  <c r="B34" i="3"/>
  <c r="E33" i="3"/>
  <c r="D33" i="12"/>
  <c r="E17" i="12"/>
  <c r="F17" i="3"/>
  <c r="C18" i="3" l="1"/>
  <c r="F17" i="12"/>
  <c r="E33" i="12"/>
  <c r="F33" i="3"/>
  <c r="F33" i="12" s="1"/>
  <c r="B34" i="12"/>
  <c r="C34" i="3"/>
  <c r="D34" i="3" l="1"/>
  <c r="C34" i="12"/>
  <c r="D18" i="3"/>
  <c r="C18" i="12"/>
  <c r="D18" i="12" l="1"/>
  <c r="E18" i="3"/>
  <c r="D34" i="12"/>
  <c r="E34" i="3"/>
  <c r="F18" i="3" l="1"/>
  <c r="E18" i="12"/>
  <c r="F34" i="3"/>
  <c r="F34" i="12" s="1"/>
  <c r="E34" i="12"/>
  <c r="F18" i="12" l="1"/>
  <c r="C19" i="3"/>
  <c r="D19" i="3" l="1"/>
  <c r="C19" i="12"/>
  <c r="D19" i="12" l="1"/>
  <c r="E19" i="3"/>
  <c r="F19" i="3" l="1"/>
  <c r="E19" i="12"/>
  <c r="F19" i="12" l="1"/>
  <c r="B20" i="3"/>
  <c r="B20" i="12" l="1"/>
  <c r="C20" i="3"/>
  <c r="C20" i="12" l="1"/>
  <c r="D20" i="3"/>
  <c r="B5" i="4" l="1"/>
  <c r="C5" i="4" s="1"/>
  <c r="D5" i="4" s="1"/>
  <c r="E20" i="3"/>
  <c r="D20" i="12"/>
  <c r="F20" i="3" l="1"/>
  <c r="F20" i="12" s="1"/>
  <c r="C21" i="3"/>
  <c r="E20" i="12"/>
  <c r="B6" i="4"/>
  <c r="E5" i="4"/>
  <c r="F5" i="4" s="1"/>
  <c r="D21" i="3" l="1"/>
  <c r="C21" i="12"/>
  <c r="C6" i="4"/>
  <c r="B7" i="4"/>
  <c r="B5" i="14"/>
  <c r="C7" i="4" l="1"/>
  <c r="B6" i="14"/>
  <c r="B8" i="4"/>
  <c r="C5" i="14"/>
  <c r="D6" i="4"/>
  <c r="D21" i="12"/>
  <c r="E21" i="3"/>
  <c r="E6" i="4" l="1"/>
  <c r="D5" i="14"/>
  <c r="B7" i="14"/>
  <c r="C8" i="4"/>
  <c r="E21" i="12"/>
  <c r="F21" i="3"/>
  <c r="C6" i="14"/>
  <c r="D7" i="4"/>
  <c r="E7" i="4" l="1"/>
  <c r="D6" i="14"/>
  <c r="C7" i="14"/>
  <c r="D8" i="4"/>
  <c r="F21" i="12"/>
  <c r="C22" i="3"/>
  <c r="E5" i="14"/>
  <c r="F6" i="4"/>
  <c r="F5" i="14" s="1"/>
  <c r="D7" i="14" l="1"/>
  <c r="E8" i="4"/>
  <c r="B9" i="4"/>
  <c r="D22" i="3"/>
  <c r="C22" i="12"/>
  <c r="F7" i="4"/>
  <c r="F6" i="14" s="1"/>
  <c r="E6" i="14"/>
  <c r="C9" i="4" l="1"/>
  <c r="B8" i="14"/>
  <c r="F8" i="4"/>
  <c r="F7" i="14" s="1"/>
  <c r="E7" i="14"/>
  <c r="E22" i="3"/>
  <c r="D22" i="12"/>
  <c r="F22" i="3" l="1"/>
  <c r="E22" i="12"/>
  <c r="D9" i="4"/>
  <c r="C8" i="14"/>
  <c r="B25" i="4" l="1"/>
  <c r="E9" i="4"/>
  <c r="D8" i="14"/>
  <c r="F22" i="12"/>
  <c r="C23" i="3"/>
  <c r="C23" i="12" l="1"/>
  <c r="D23" i="3"/>
  <c r="C10" i="4"/>
  <c r="E8" i="14"/>
  <c r="F9" i="4"/>
  <c r="F8" i="14" s="1"/>
  <c r="B26" i="4"/>
  <c r="B24" i="14"/>
  <c r="C25" i="4"/>
  <c r="D25" i="4" l="1"/>
  <c r="C24" i="14"/>
  <c r="D23" i="12"/>
  <c r="E23" i="3"/>
  <c r="B25" i="14"/>
  <c r="C26" i="4"/>
  <c r="B27" i="4"/>
  <c r="D10" i="4"/>
  <c r="C9" i="14"/>
  <c r="D26" i="4" l="1"/>
  <c r="C25" i="14"/>
  <c r="D9" i="14"/>
  <c r="E10" i="4"/>
  <c r="C27" i="4"/>
  <c r="B26" i="14"/>
  <c r="F23" i="3"/>
  <c r="E23" i="12"/>
  <c r="D24" i="14"/>
  <c r="E25" i="4"/>
  <c r="E9" i="14" l="1"/>
  <c r="F10" i="4"/>
  <c r="F25" i="4"/>
  <c r="F24" i="14" s="1"/>
  <c r="E24" i="14"/>
  <c r="F23" i="12"/>
  <c r="D24" i="3"/>
  <c r="C26" i="14"/>
  <c r="D27" i="4"/>
  <c r="E26" i="4"/>
  <c r="D25" i="14"/>
  <c r="D26" i="14" l="1"/>
  <c r="E27" i="4"/>
  <c r="B31" i="4"/>
  <c r="D24" i="12"/>
  <c r="E24" i="3"/>
  <c r="F9" i="14"/>
  <c r="C11" i="4"/>
  <c r="E25" i="14"/>
  <c r="F26" i="4"/>
  <c r="F25" i="14" s="1"/>
  <c r="D11" i="4" l="1"/>
  <c r="C10" i="14"/>
  <c r="E24" i="12"/>
  <c r="F24" i="3"/>
  <c r="F24" i="12" s="1"/>
  <c r="B30" i="14"/>
  <c r="C31" i="4"/>
  <c r="F27" i="4"/>
  <c r="F26" i="14" s="1"/>
  <c r="E26" i="14"/>
  <c r="D31" i="4" l="1"/>
  <c r="C30" i="14"/>
  <c r="D10" i="14"/>
  <c r="E11" i="4"/>
  <c r="E10" i="14" l="1"/>
  <c r="F11" i="4"/>
  <c r="D30" i="14"/>
  <c r="E31" i="4"/>
  <c r="B13" i="4"/>
  <c r="C13" i="4" l="1"/>
  <c r="B29" i="4"/>
  <c r="B12" i="14"/>
  <c r="F10" i="14"/>
  <c r="C12" i="4"/>
  <c r="E30" i="14"/>
  <c r="F31" i="4"/>
  <c r="F30" i="14" s="1"/>
  <c r="C11" i="14" l="1"/>
  <c r="D12" i="4"/>
  <c r="B28" i="14"/>
  <c r="C29" i="4"/>
  <c r="B30" i="4"/>
  <c r="C12" i="14"/>
  <c r="D13" i="4"/>
  <c r="C30" i="4" l="1"/>
  <c r="B29" i="14"/>
  <c r="D12" i="14"/>
  <c r="E13" i="4"/>
  <c r="E12" i="4"/>
  <c r="D11" i="14"/>
  <c r="C28" i="14"/>
  <c r="D29" i="4"/>
  <c r="F12" i="4" l="1"/>
  <c r="F11" i="14" s="1"/>
  <c r="E11" i="14"/>
  <c r="D28" i="14"/>
  <c r="E29" i="4"/>
  <c r="F13" i="4"/>
  <c r="F12" i="14" s="1"/>
  <c r="C14" i="4"/>
  <c r="E12" i="14"/>
  <c r="D30" i="4"/>
  <c r="C29" i="14"/>
  <c r="E30" i="4" l="1"/>
  <c r="B28" i="4"/>
  <c r="D29" i="14"/>
  <c r="D14" i="4"/>
  <c r="C13" i="14"/>
  <c r="E28" i="14"/>
  <c r="F29" i="4"/>
  <c r="F28" i="14" s="1"/>
  <c r="D13" i="14" l="1"/>
  <c r="E14" i="4"/>
  <c r="B27" i="14"/>
  <c r="C28" i="4"/>
  <c r="E29" i="14"/>
  <c r="F30" i="4"/>
  <c r="F29" i="14" s="1"/>
  <c r="D28" i="4" l="1"/>
  <c r="C27" i="14"/>
  <c r="E13" i="14"/>
  <c r="F14" i="4"/>
  <c r="C15" i="4" l="1"/>
  <c r="F13" i="14"/>
  <c r="D27" i="14"/>
  <c r="E28" i="4"/>
  <c r="F28" i="4" l="1"/>
  <c r="F27" i="14" s="1"/>
  <c r="E27" i="14"/>
  <c r="C14" i="14"/>
  <c r="D15" i="4"/>
  <c r="D14" i="14" l="1"/>
  <c r="E15" i="4"/>
  <c r="E14" i="14" l="1"/>
  <c r="F15" i="4"/>
  <c r="F14" i="14" l="1"/>
  <c r="C16" i="4"/>
  <c r="D16" i="4" l="1"/>
  <c r="C15" i="14"/>
  <c r="D15" i="14" l="1"/>
  <c r="E16" i="4"/>
  <c r="F16" i="4" l="1"/>
  <c r="E15" i="14"/>
  <c r="F15" i="14" l="1"/>
  <c r="B17" i="4"/>
  <c r="B16" i="14" l="1"/>
  <c r="C17" i="4"/>
  <c r="C16" i="14" l="1"/>
  <c r="D17" i="4"/>
  <c r="D16" i="14" l="1"/>
  <c r="B32" i="4"/>
  <c r="E17" i="4"/>
  <c r="F17" i="4" l="1"/>
  <c r="F16" i="14" s="1"/>
  <c r="C18" i="4"/>
  <c r="E16" i="14"/>
  <c r="B31" i="14"/>
  <c r="B33" i="4"/>
  <c r="C32" i="4"/>
  <c r="B32" i="14" l="1"/>
  <c r="C33" i="4"/>
  <c r="C17" i="14"/>
  <c r="D18" i="4"/>
  <c r="D32" i="4"/>
  <c r="C31" i="14"/>
  <c r="C32" i="14" l="1"/>
  <c r="D33" i="4"/>
  <c r="E32" i="4"/>
  <c r="D31" i="14"/>
  <c r="D17" i="14"/>
  <c r="E18" i="4"/>
  <c r="F18" i="4" l="1"/>
  <c r="E17" i="14"/>
  <c r="E31" i="14"/>
  <c r="F32" i="4"/>
  <c r="F31" i="14" s="1"/>
  <c r="D32" i="14"/>
  <c r="E33" i="4"/>
  <c r="B34" i="4"/>
  <c r="B33" i="14" l="1"/>
  <c r="C34" i="4"/>
  <c r="F33" i="4"/>
  <c r="F32" i="14" s="1"/>
  <c r="E32" i="14"/>
  <c r="F17" i="14"/>
  <c r="C19" i="4"/>
  <c r="D19" i="4" l="1"/>
  <c r="C18" i="14"/>
  <c r="D34" i="4"/>
  <c r="C33" i="14"/>
  <c r="D33" i="14" l="1"/>
  <c r="E34" i="4"/>
  <c r="D18" i="14"/>
  <c r="E19" i="4"/>
  <c r="F19" i="4" l="1"/>
  <c r="E18" i="14"/>
  <c r="E33" i="14"/>
  <c r="F34" i="4"/>
  <c r="F33" i="14" s="1"/>
  <c r="F18" i="14" l="1"/>
  <c r="C20" i="4"/>
  <c r="D20" i="4" l="1"/>
  <c r="C19" i="14"/>
  <c r="D19" i="14" l="1"/>
  <c r="E20" i="4"/>
  <c r="E19" i="14" l="1"/>
  <c r="F20" i="4"/>
  <c r="C12" i="9"/>
  <c r="D12" i="9" s="1"/>
  <c r="E12" i="9" s="1"/>
  <c r="B29" i="9"/>
  <c r="C29" i="9" s="1"/>
  <c r="D29" i="9" s="1"/>
  <c r="E29" i="9" s="1"/>
  <c r="F29" i="9" s="1"/>
  <c r="B21" i="4" l="1"/>
  <c r="F19" i="14"/>
  <c r="F12" i="9"/>
  <c r="C13" i="9"/>
  <c r="D13" i="9" s="1"/>
  <c r="E13" i="9" s="1"/>
  <c r="F13" i="9" s="1"/>
  <c r="C14" i="9" s="1"/>
  <c r="D14" i="9" s="1"/>
  <c r="E14" i="9" s="1"/>
  <c r="F14" i="9" s="1"/>
  <c r="C15" i="9" s="1"/>
  <c r="D15" i="9" s="1"/>
  <c r="E15" i="9" s="1"/>
  <c r="F15" i="9" s="1"/>
  <c r="B30" i="9"/>
  <c r="C30" i="9" s="1"/>
  <c r="D30" i="9" s="1"/>
  <c r="B20" i="14" l="1"/>
  <c r="C21" i="4"/>
  <c r="E30" i="9"/>
  <c r="F30" i="9" s="1"/>
  <c r="B28" i="9"/>
  <c r="C28" i="9" s="1"/>
  <c r="D28" i="9" s="1"/>
  <c r="C20" i="14" l="1"/>
  <c r="D21" i="4"/>
  <c r="C16" i="9"/>
  <c r="D16" i="9" s="1"/>
  <c r="E28" i="9"/>
  <c r="F28" i="9" s="1"/>
  <c r="E21" i="4" l="1"/>
  <c r="D20" i="14"/>
  <c r="E16" i="9"/>
  <c r="B32" i="9"/>
  <c r="C22" i="4" l="1"/>
  <c r="E20" i="14"/>
  <c r="F21" i="4"/>
  <c r="F20" i="14" s="1"/>
  <c r="C32" i="9"/>
  <c r="D32" i="9" s="1"/>
  <c r="E32" i="9" s="1"/>
  <c r="F32" i="9" s="1"/>
  <c r="B33" i="9"/>
  <c r="C33" i="9" s="1"/>
  <c r="D33" i="9" s="1"/>
  <c r="C17" i="9"/>
  <c r="D17" i="9" s="1"/>
  <c r="E17" i="9" s="1"/>
  <c r="F17" i="9" s="1"/>
  <c r="C18" i="9" s="1"/>
  <c r="D18" i="9" s="1"/>
  <c r="E18" i="9" s="1"/>
  <c r="F18" i="9" s="1"/>
  <c r="C19" i="9" s="1"/>
  <c r="D19" i="9" s="1"/>
  <c r="E19" i="9" s="1"/>
  <c r="F19" i="9" s="1"/>
  <c r="B20" i="9" s="1"/>
  <c r="F16" i="9"/>
  <c r="C21" i="14" l="1"/>
  <c r="D22" i="4"/>
  <c r="B34" i="9"/>
  <c r="C34" i="9" s="1"/>
  <c r="D34" i="9" s="1"/>
  <c r="E33" i="9"/>
  <c r="F33" i="9" s="1"/>
  <c r="D21" i="14" l="1"/>
  <c r="E22" i="4"/>
  <c r="C20" i="9"/>
  <c r="D20" i="9" s="1"/>
  <c r="E20" i="9" s="1"/>
  <c r="E34" i="9"/>
  <c r="F34" i="9" s="1"/>
  <c r="E21" i="14" l="1"/>
  <c r="F22" i="4"/>
  <c r="F20" i="9"/>
  <c r="C21" i="9"/>
  <c r="D21" i="9" s="1"/>
  <c r="E21" i="9" s="1"/>
  <c r="F21" i="9" s="1"/>
  <c r="C22" i="9" s="1"/>
  <c r="D22" i="9" s="1"/>
  <c r="E22" i="9" s="1"/>
  <c r="F22" i="9" s="1"/>
  <c r="C23" i="9" s="1"/>
  <c r="D23" i="9" s="1"/>
  <c r="E23" i="9" s="1"/>
  <c r="F23" i="9" s="1"/>
  <c r="D24" i="9" s="1"/>
  <c r="E24" i="9" s="1"/>
  <c r="F24" i="9" s="1"/>
  <c r="C31" i="13"/>
  <c r="D31" i="13" s="1"/>
  <c r="C23" i="4" l="1"/>
  <c r="F21" i="14"/>
  <c r="E31" i="13"/>
  <c r="F31" i="13" s="1"/>
  <c r="B12" i="13"/>
  <c r="C22" i="14" l="1"/>
  <c r="D23" i="4"/>
  <c r="B29" i="13"/>
  <c r="C12" i="13"/>
  <c r="D12" i="13" s="1"/>
  <c r="E12" i="13" s="1"/>
  <c r="E23" i="4" l="1"/>
  <c r="D22" i="14"/>
  <c r="C13" i="13"/>
  <c r="D13" i="13" s="1"/>
  <c r="E13" i="13" s="1"/>
  <c r="F13" i="13" s="1"/>
  <c r="C14" i="13" s="1"/>
  <c r="D14" i="13" s="1"/>
  <c r="E14" i="13" s="1"/>
  <c r="F14" i="13" s="1"/>
  <c r="C15" i="13" s="1"/>
  <c r="D15" i="13" s="1"/>
  <c r="E15" i="13" s="1"/>
  <c r="F15" i="13" s="1"/>
  <c r="B16" i="13" s="1"/>
  <c r="C16" i="13" s="1"/>
  <c r="D16" i="13" s="1"/>
  <c r="F12" i="13"/>
  <c r="B30" i="13"/>
  <c r="C30" i="13" s="1"/>
  <c r="D30" i="13" s="1"/>
  <c r="C29" i="13"/>
  <c r="D29" i="13" s="1"/>
  <c r="E29" i="13" s="1"/>
  <c r="F29" i="13" s="1"/>
  <c r="B32" i="13" l="1"/>
  <c r="E16" i="13"/>
  <c r="F23" i="4"/>
  <c r="E22" i="14"/>
  <c r="B28" i="13"/>
  <c r="C28" i="13" s="1"/>
  <c r="D28" i="13" s="1"/>
  <c r="E28" i="13" s="1"/>
  <c r="F28" i="13" s="1"/>
  <c r="E30" i="13"/>
  <c r="F30" i="13" s="1"/>
  <c r="C17" i="13" l="1"/>
  <c r="D17" i="13" s="1"/>
  <c r="E17" i="13" s="1"/>
  <c r="F17" i="13" s="1"/>
  <c r="C18" i="13" s="1"/>
  <c r="D18" i="13" s="1"/>
  <c r="E18" i="13" s="1"/>
  <c r="F18" i="13" s="1"/>
  <c r="C19" i="13" s="1"/>
  <c r="D19" i="13" s="1"/>
  <c r="E19" i="13" s="1"/>
  <c r="F19" i="13" s="1"/>
  <c r="B20" i="13" s="1"/>
  <c r="C20" i="13" s="1"/>
  <c r="D20" i="13" s="1"/>
  <c r="F16" i="13"/>
  <c r="F22" i="14"/>
  <c r="C24" i="4"/>
  <c r="D24" i="4" l="1"/>
  <c r="C23" i="14"/>
  <c r="E20" i="13"/>
  <c r="F20" i="13" s="1"/>
  <c r="C21" i="13"/>
  <c r="D21" i="13" s="1"/>
  <c r="E21" i="13" s="1"/>
  <c r="F21" i="13" s="1"/>
  <c r="C22" i="13" s="1"/>
  <c r="D22" i="13" s="1"/>
  <c r="E22" i="13" s="1"/>
  <c r="F22" i="13" s="1"/>
  <c r="C23" i="13" s="1"/>
  <c r="D23" i="13" s="1"/>
  <c r="E23" i="13" s="1"/>
  <c r="F23" i="13" s="1"/>
  <c r="D24" i="13" s="1"/>
  <c r="E24" i="13" s="1"/>
  <c r="F24" i="13" s="1"/>
  <c r="D23" i="14" l="1"/>
  <c r="E24" i="4"/>
  <c r="B33" i="13"/>
  <c r="C33" i="13" s="1"/>
  <c r="D33" i="13" s="1"/>
  <c r="C32" i="13"/>
  <c r="D32" i="13" s="1"/>
  <c r="E32" i="13" s="1"/>
  <c r="F32" i="13" s="1"/>
  <c r="F24" i="4" l="1"/>
  <c r="F23" i="14" s="1"/>
  <c r="E23" i="14"/>
  <c r="E33" i="13"/>
  <c r="F33" i="13" s="1"/>
  <c r="B34" i="13"/>
  <c r="C34" i="13" s="1"/>
  <c r="D34" i="13" s="1"/>
  <c r="E34" i="13" s="1"/>
  <c r="F34" i="13" s="1"/>
</calcChain>
</file>

<file path=xl/sharedStrings.xml><?xml version="1.0" encoding="utf-8"?>
<sst xmlns="http://schemas.openxmlformats.org/spreadsheetml/2006/main" count="722" uniqueCount="339">
  <si>
    <t>tile</t>
    <phoneticPr fontId="1" type="noConversion"/>
  </si>
  <si>
    <t>x</t>
    <phoneticPr fontId="1" type="noConversion"/>
  </si>
  <si>
    <t>CYCLE</t>
    <phoneticPr fontId="1" type="noConversion"/>
  </si>
  <si>
    <t>y</t>
    <phoneticPr fontId="1" type="noConversion"/>
  </si>
  <si>
    <t>MODE</t>
    <phoneticPr fontId="1" type="noConversion"/>
  </si>
  <si>
    <t>mode</t>
  </si>
  <si>
    <t>pipe begin</t>
    <phoneticPr fontId="1" type="noConversion"/>
  </si>
  <si>
    <t>input begin</t>
    <phoneticPr fontId="1" type="noConversion"/>
  </si>
  <si>
    <t>input end</t>
    <phoneticPr fontId="1" type="noConversion"/>
  </si>
  <si>
    <t>output begin</t>
    <phoneticPr fontId="1" type="noConversion"/>
  </si>
  <si>
    <t>output end</t>
    <phoneticPr fontId="1" type="noConversion"/>
  </si>
  <si>
    <t>8x8 input cc</t>
    <phoneticPr fontId="1" type="noConversion"/>
  </si>
  <si>
    <t>8x8 work cc</t>
    <phoneticPr fontId="1" type="noConversion"/>
  </si>
  <si>
    <t>8x8 output cc</t>
    <phoneticPr fontId="1" type="noConversion"/>
  </si>
  <si>
    <t>tqitq out</t>
    <phoneticPr fontId="1" type="noConversion"/>
  </si>
  <si>
    <t>tqitq work</t>
    <phoneticPr fontId="1" type="noConversion"/>
  </si>
  <si>
    <t>inter pk in</t>
    <phoneticPr fontId="1" type="noConversion"/>
  </si>
  <si>
    <t>inter pk work</t>
    <phoneticPr fontId="1" type="noConversion"/>
  </si>
  <si>
    <t>inter pk out</t>
    <phoneticPr fontId="1" type="noConversion"/>
  </si>
  <si>
    <t>sel pk in</t>
    <phoneticPr fontId="1" type="noConversion"/>
  </si>
  <si>
    <t>sel pk work</t>
    <phoneticPr fontId="1" type="noConversion"/>
  </si>
  <si>
    <t>sel pk out</t>
    <phoneticPr fontId="1" type="noConversion"/>
  </si>
  <si>
    <t>dummy wait</t>
    <phoneticPr fontId="1" type="noConversion"/>
  </si>
  <si>
    <t>16x16 input cc</t>
    <phoneticPr fontId="1" type="noConversion"/>
  </si>
  <si>
    <t>16x16 work cc</t>
    <phoneticPr fontId="1" type="noConversion"/>
  </si>
  <si>
    <t>16x16 output cc</t>
    <phoneticPr fontId="1" type="noConversion"/>
  </si>
  <si>
    <t>32x32 input cc</t>
    <phoneticPr fontId="1" type="noConversion"/>
  </si>
  <si>
    <t>32x32 work cc</t>
    <phoneticPr fontId="1" type="noConversion"/>
  </si>
  <si>
    <t>32x32 output cc</t>
    <phoneticPr fontId="1" type="noConversion"/>
  </si>
  <si>
    <t>PMF_M8_0_a</t>
  </si>
  <si>
    <t xml:space="preserve">PMF_M8_0_b </t>
  </si>
  <si>
    <t xml:space="preserve">PMF_M8_0_c </t>
  </si>
  <si>
    <t xml:space="preserve">TQITQ_F8 </t>
  </si>
  <si>
    <t xml:space="preserve">INTER_PK8 </t>
  </si>
  <si>
    <t xml:space="preserve">SEL_PK8 </t>
  </si>
  <si>
    <t xml:space="preserve">PMF_M8_1_b </t>
  </si>
  <si>
    <t>PMF_M16_0_a</t>
  </si>
  <si>
    <t xml:space="preserve">TQITQ_M8 </t>
  </si>
  <si>
    <t xml:space="preserve">PMF_M8_2_c </t>
  </si>
  <si>
    <t>PMF_M8_3_a</t>
  </si>
  <si>
    <t xml:space="preserve">PMF_M8_3_b </t>
  </si>
  <si>
    <t xml:space="preserve">PMF_F8_3 </t>
  </si>
  <si>
    <t xml:space="preserve">PMF_M8_3_c </t>
  </si>
  <si>
    <t>PMF_M8_1_a</t>
    <phoneticPr fontId="1" type="noConversion"/>
  </si>
  <si>
    <t xml:space="preserve">PMF_M8_1_c </t>
    <phoneticPr fontId="1" type="noConversion"/>
  </si>
  <si>
    <t>PMF_M8_2_a</t>
    <phoneticPr fontId="1" type="noConversion"/>
  </si>
  <si>
    <t xml:space="preserve">PMF_M8_2_b </t>
    <phoneticPr fontId="1" type="noConversion"/>
  </si>
  <si>
    <t xml:space="preserve">PMF_F8_1 </t>
    <phoneticPr fontId="1" type="noConversion"/>
  </si>
  <si>
    <t xml:space="preserve">TQITQ_M8 </t>
    <phoneticPr fontId="1" type="noConversion"/>
  </si>
  <si>
    <t>PMF_F8_2</t>
    <phoneticPr fontId="1" type="noConversion"/>
  </si>
  <si>
    <t>PMF_F8_0</t>
    <phoneticPr fontId="1" type="noConversion"/>
  </si>
  <si>
    <t>PMF_F8_1</t>
    <phoneticPr fontId="1" type="noConversion"/>
  </si>
  <si>
    <t>PMF C0 Round 1-3</t>
    <phoneticPr fontId="1" type="noConversion"/>
  </si>
  <si>
    <t xml:space="preserve">PMF_F8_0 </t>
    <phoneticPr fontId="1" type="noConversion"/>
  </si>
  <si>
    <t>PMF_F16_0</t>
  </si>
  <si>
    <t>PMF_M16_0_c</t>
  </si>
  <si>
    <t>PMF_M32_0_a</t>
  </si>
  <si>
    <t>PMF_M32_0_b</t>
  </si>
  <si>
    <t>PMF_M16_1_c</t>
  </si>
  <si>
    <t>PMF_M32_0_c</t>
  </si>
  <si>
    <t>PMF_F32_0</t>
  </si>
  <si>
    <t>PMF_M16_2_c</t>
  </si>
  <si>
    <t xml:space="preserve">
</t>
  </si>
  <si>
    <t>块个数</t>
  </si>
  <si>
    <t>单块运行cycle</t>
  </si>
  <si>
    <t>流水延迟</t>
  </si>
  <si>
    <t>CB CR 块</t>
  </si>
  <si>
    <t>模式</t>
  </si>
  <si>
    <t>8x8</t>
  </si>
  <si>
    <t>64*2</t>
  </si>
  <si>
    <t>4x4</t>
  </si>
  <si>
    <t>4x8</t>
  </si>
  <si>
    <t>FME+ MMVPx1</t>
  </si>
  <si>
    <t>16x16</t>
  </si>
  <si>
    <t>16*2</t>
  </si>
  <si>
    <t>8x16</t>
  </si>
  <si>
    <t>FME+ MMVPx2</t>
  </si>
  <si>
    <t>32x32</t>
  </si>
  <si>
    <t>8*2</t>
  </si>
  <si>
    <t>16x32</t>
  </si>
  <si>
    <t>64x64</t>
  </si>
  <si>
    <t>32x64</t>
  </si>
  <si>
    <t>性能需求420：64x64</t>
  </si>
  <si>
    <t>插值性能估计</t>
  </si>
  <si>
    <t>Y</t>
  </si>
  <si>
    <t>模式个数</t>
  </si>
  <si>
    <t>总计</t>
  </si>
  <si>
    <t>y size</t>
  </si>
  <si>
    <t>小计</t>
  </si>
  <si>
    <t>16pixel</t>
  </si>
  <si>
    <t>8x8 1F1M</t>
  </si>
  <si>
    <t>8x8 1F3M</t>
  </si>
  <si>
    <t>16x16 1F2M</t>
  </si>
  <si>
    <t>16x16 2M</t>
  </si>
  <si>
    <t>32x32 1F</t>
  </si>
  <si>
    <t>16x16 1F1M</t>
  </si>
  <si>
    <t>64x64(切成4个32x32)</t>
  </si>
  <si>
    <t>8pixel</t>
  </si>
  <si>
    <t>32x32 2M</t>
  </si>
  <si>
    <t>32x32 1F3M</t>
  </si>
  <si>
    <t>64x64 1F1M(切成4个32x32)</t>
  </si>
  <si>
    <t>U(420)</t>
  </si>
  <si>
    <t>UV</t>
  </si>
  <si>
    <t>uv size</t>
  </si>
  <si>
    <t>总计 （U+V）</t>
  </si>
  <si>
    <t>16x16 1F3M</t>
  </si>
  <si>
    <t>16x16 F</t>
  </si>
  <si>
    <t>4pixel</t>
  </si>
  <si>
    <t>16x16 M</t>
  </si>
  <si>
    <t>32x32(4x32x8)</t>
  </si>
  <si>
    <t>64x64 1F3M(切成4个32x32)</t>
  </si>
  <si>
    <t>块输出到TQITQ 时间</t>
  </si>
  <si>
    <t>单块输出时间</t>
  </si>
  <si>
    <t>TQITQ输入通道</t>
  </si>
  <si>
    <t>Y 耗时</t>
  </si>
  <si>
    <t>UV 耗时</t>
  </si>
  <si>
    <t>MRG总耗时</t>
  </si>
  <si>
    <t>Intra 耗时</t>
  </si>
  <si>
    <t>TQITQ 输入耗时</t>
  </si>
  <si>
    <t>MRG &amp; intra 独立</t>
  </si>
  <si>
    <t>MRG &amp; intra 共享</t>
  </si>
  <si>
    <t>待定</t>
  </si>
  <si>
    <t>4x4 (Y8x8)</t>
    <phoneticPr fontId="1" type="noConversion"/>
  </si>
  <si>
    <t>8x8 (Y16x16)</t>
    <phoneticPr fontId="1" type="noConversion"/>
  </si>
  <si>
    <t>16x16 (Y32x32)</t>
    <phoneticPr fontId="1" type="noConversion"/>
  </si>
  <si>
    <t>32x32 (Y64x64)</t>
    <phoneticPr fontId="1" type="noConversion"/>
  </si>
  <si>
    <t>单块运行cycle(8 pixel)</t>
    <phoneticPr fontId="1" type="noConversion"/>
  </si>
  <si>
    <t>4x4 1F3M</t>
    <phoneticPr fontId="1" type="noConversion"/>
  </si>
  <si>
    <t>8x8 2M</t>
    <phoneticPr fontId="1" type="noConversion"/>
  </si>
  <si>
    <t>8x8 1F1M</t>
    <phoneticPr fontId="1" type="noConversion"/>
  </si>
  <si>
    <t>16x16 1F3M</t>
    <phoneticPr fontId="1" type="noConversion"/>
  </si>
  <si>
    <t>32x32 1F1M(切成4个32x32)</t>
    <phoneticPr fontId="1" type="noConversion"/>
  </si>
  <si>
    <t>总计 （U420）</t>
    <phoneticPr fontId="1" type="noConversion"/>
  </si>
  <si>
    <t>4x4 input cc</t>
  </si>
  <si>
    <t>4x4 work cc</t>
  </si>
  <si>
    <t>4x4 output cc</t>
  </si>
  <si>
    <t>PMF_M4_0_a</t>
  </si>
  <si>
    <t xml:space="preserve">PMF_M4_0_b </t>
  </si>
  <si>
    <t xml:space="preserve">PMF_M4_0_c </t>
  </si>
  <si>
    <t xml:space="preserve">PMF_M4_1_c </t>
  </si>
  <si>
    <t xml:space="preserve">TQITQ_M4 </t>
  </si>
  <si>
    <t xml:space="preserve">PMF_M4_2_c </t>
  </si>
  <si>
    <t xml:space="preserve">PMF_M4_3_c </t>
  </si>
  <si>
    <t>PMF_M4_1_a</t>
  </si>
  <si>
    <t xml:space="preserve">PMF_M4_1_b </t>
  </si>
  <si>
    <t>PMF_M4_2_a</t>
  </si>
  <si>
    <t xml:space="preserve">PMF_M4_2_b </t>
  </si>
  <si>
    <t>PMF_M4_3_a</t>
  </si>
  <si>
    <t xml:space="preserve">PMF_M4_3_b </t>
  </si>
  <si>
    <t>PMF_F4_0</t>
  </si>
  <si>
    <t xml:space="preserve">TQITQ_F4 </t>
  </si>
  <si>
    <t>PMF_F4_1</t>
  </si>
  <si>
    <t>PMF_F4_2</t>
  </si>
  <si>
    <t xml:space="preserve">PMF_F4_3 </t>
  </si>
  <si>
    <t xml:space="preserve">INTER_PK4 </t>
  </si>
  <si>
    <t xml:space="preserve">SEL_PK4 </t>
  </si>
  <si>
    <t>PMF_M8_0_a</t>
    <phoneticPr fontId="1" type="noConversion"/>
  </si>
  <si>
    <t>PMF_F8_0</t>
  </si>
  <si>
    <t>PMF_M16_0_b</t>
  </si>
  <si>
    <t>PMF_F8_1</t>
  </si>
  <si>
    <t>PMF_F8_2</t>
  </si>
  <si>
    <t>PMF_F8_3</t>
  </si>
  <si>
    <t>PMF UV c0 round0</t>
    <phoneticPr fontId="1" type="noConversion"/>
  </si>
  <si>
    <t>PMF c0 round0</t>
    <phoneticPr fontId="1" type="noConversion"/>
  </si>
  <si>
    <t>PMF c1 round0-3</t>
    <phoneticPr fontId="1" type="noConversion"/>
  </si>
  <si>
    <t>PMF_64M32_0</t>
    <phoneticPr fontId="1" type="noConversion"/>
  </si>
  <si>
    <t>PMF_64M32_1</t>
    <phoneticPr fontId="1" type="noConversion"/>
  </si>
  <si>
    <t>PMF_32M16_0</t>
    <phoneticPr fontId="1" type="noConversion"/>
  </si>
  <si>
    <t>PMF_32M16_1</t>
    <phoneticPr fontId="1" type="noConversion"/>
  </si>
  <si>
    <t>通道4</t>
    <phoneticPr fontId="1" type="noConversion"/>
  </si>
  <si>
    <t>通道8</t>
    <phoneticPr fontId="1" type="noConversion"/>
  </si>
  <si>
    <t>Y8x8</t>
    <phoneticPr fontId="1" type="noConversion"/>
  </si>
  <si>
    <t>通道16</t>
    <phoneticPr fontId="1" type="noConversion"/>
  </si>
  <si>
    <t>通道32</t>
    <phoneticPr fontId="1" type="noConversion"/>
  </si>
  <si>
    <t>Y32x32</t>
    <phoneticPr fontId="1" type="noConversion"/>
  </si>
  <si>
    <t>Y64x64(切成4个32x32)</t>
    <phoneticPr fontId="1" type="noConversion"/>
  </si>
  <si>
    <t>Y16x16</t>
    <phoneticPr fontId="1" type="noConversion"/>
  </si>
  <si>
    <t xml:space="preserve">UV16x16 </t>
    <phoneticPr fontId="1" type="noConversion"/>
  </si>
  <si>
    <t xml:space="preserve">UV8x8 </t>
    <phoneticPr fontId="1" type="noConversion"/>
  </si>
  <si>
    <t>uv4x4</t>
    <phoneticPr fontId="1" type="noConversion"/>
  </si>
  <si>
    <t>UV32x32（切成4个16x16)</t>
    <phoneticPr fontId="1" type="noConversion"/>
  </si>
  <si>
    <t>PMF output to TQITQ 占用时间</t>
    <phoneticPr fontId="1" type="noConversion"/>
  </si>
  <si>
    <t>块数</t>
    <phoneticPr fontId="1" type="noConversion"/>
  </si>
  <si>
    <t>输出时间</t>
    <phoneticPr fontId="1" type="noConversion"/>
  </si>
  <si>
    <t>模式个数</t>
    <phoneticPr fontId="1" type="noConversion"/>
  </si>
  <si>
    <t>时间</t>
    <phoneticPr fontId="1" type="noConversion"/>
  </si>
  <si>
    <t>总计</t>
    <phoneticPr fontId="1" type="noConversion"/>
  </si>
  <si>
    <t>y8x8(切成4个4x4)</t>
    <phoneticPr fontId="1" type="noConversion"/>
  </si>
  <si>
    <t>PMF UV c0 round1-3</t>
    <phoneticPr fontId="1" type="noConversion"/>
  </si>
  <si>
    <t>PMF_M16_0_a</t>
    <phoneticPr fontId="1" type="noConversion"/>
  </si>
  <si>
    <t>PMF_M16_0_b</t>
    <phoneticPr fontId="1" type="noConversion"/>
  </si>
  <si>
    <t>PMF_M16_0_c</t>
    <phoneticPr fontId="1" type="noConversion"/>
  </si>
  <si>
    <t>PMF_M16_3_b</t>
    <phoneticPr fontId="1" type="noConversion"/>
  </si>
  <si>
    <t>PMF_M16_3_c</t>
    <phoneticPr fontId="1" type="noConversion"/>
  </si>
  <si>
    <t>PMF_M16_2_b</t>
    <phoneticPr fontId="1" type="noConversion"/>
  </si>
  <si>
    <t>PMF_M16_1_b</t>
    <phoneticPr fontId="1" type="noConversion"/>
  </si>
  <si>
    <t>PMF_F16_0</t>
    <phoneticPr fontId="1" type="noConversion"/>
  </si>
  <si>
    <t>PMF_F16_1</t>
    <phoneticPr fontId="1" type="noConversion"/>
  </si>
  <si>
    <t>PMF UV c1 round1-3</t>
    <phoneticPr fontId="1" type="noConversion"/>
  </si>
  <si>
    <t>PMF UV c1 round0</t>
    <phoneticPr fontId="1" type="noConversion"/>
  </si>
  <si>
    <t>PMF_M8_0_c</t>
    <phoneticPr fontId="1" type="noConversion"/>
  </si>
  <si>
    <t>PMF_M8_0_b</t>
    <phoneticPr fontId="1" type="noConversion"/>
  </si>
  <si>
    <t>PMF_M8_1_b</t>
    <phoneticPr fontId="1" type="noConversion"/>
  </si>
  <si>
    <t>PMF_M8_1_c</t>
    <phoneticPr fontId="1" type="noConversion"/>
  </si>
  <si>
    <t>PMF_M8_2_b</t>
    <phoneticPr fontId="1" type="noConversion"/>
  </si>
  <si>
    <t>PMF_M8_2_c</t>
    <phoneticPr fontId="1" type="noConversion"/>
  </si>
  <si>
    <t>PMF_M8_3_a</t>
    <phoneticPr fontId="1" type="noConversion"/>
  </si>
  <si>
    <t>PMF_M8_3_b</t>
    <phoneticPr fontId="1" type="noConversion"/>
  </si>
  <si>
    <t>PMF_M8_3_c</t>
    <phoneticPr fontId="1" type="noConversion"/>
  </si>
  <si>
    <t>PMF c1 round1-3</t>
    <phoneticPr fontId="1" type="noConversion"/>
  </si>
  <si>
    <t>PMF_F16_2</t>
    <phoneticPr fontId="1" type="noConversion"/>
  </si>
  <si>
    <t>PMF_F16_3</t>
    <phoneticPr fontId="1" type="noConversion"/>
  </si>
  <si>
    <t>Yread latancy</t>
    <phoneticPr fontId="1" type="noConversion"/>
  </si>
  <si>
    <t>tqitq8x8 input</t>
    <phoneticPr fontId="1" type="noConversion"/>
  </si>
  <si>
    <t>UVread latancy</t>
    <phoneticPr fontId="1" type="noConversion"/>
  </si>
  <si>
    <t>tqitq4x4 input</t>
    <phoneticPr fontId="1" type="noConversion"/>
  </si>
  <si>
    <t>PMF_M16_a</t>
    <phoneticPr fontId="1" type="noConversion"/>
  </si>
  <si>
    <t>HEVC</t>
    <phoneticPr fontId="1" type="noConversion"/>
  </si>
  <si>
    <t>H264</t>
    <phoneticPr fontId="1" type="noConversion"/>
  </si>
  <si>
    <t>PMF_M4_0_a</t>
    <phoneticPr fontId="1" type="noConversion"/>
  </si>
  <si>
    <t>PMF_M8</t>
    <phoneticPr fontId="1" type="noConversion"/>
  </si>
  <si>
    <t>PMF_F8</t>
    <phoneticPr fontId="1" type="noConversion"/>
  </si>
  <si>
    <t>264PMF c0 round0</t>
    <phoneticPr fontId="1" type="noConversion"/>
  </si>
  <si>
    <t>tqitq16x16 input</t>
    <phoneticPr fontId="1" type="noConversion"/>
  </si>
  <si>
    <t>TQITQ_F8</t>
  </si>
  <si>
    <t>INTER_PK8</t>
  </si>
  <si>
    <t>TQITQ_M8</t>
  </si>
  <si>
    <t>PMF_M8_0</t>
  </si>
  <si>
    <t>PMF_M8_1</t>
  </si>
  <si>
    <t>PMF_M8_2</t>
  </si>
  <si>
    <t>PMF_M8_3</t>
  </si>
  <si>
    <t>PMF_16F8_0</t>
    <phoneticPr fontId="1" type="noConversion"/>
  </si>
  <si>
    <t>PMF_16F8_1</t>
  </si>
  <si>
    <t>PMF_16F8_2</t>
  </si>
  <si>
    <t>PMF_16F8_3</t>
  </si>
  <si>
    <t>PMF_16M8_0</t>
    <phoneticPr fontId="1" type="noConversion"/>
  </si>
  <si>
    <t>PMF_16M8_1</t>
  </si>
  <si>
    <t>PMF_16M8_2</t>
  </si>
  <si>
    <t>PMF_16M8_3</t>
  </si>
  <si>
    <t>264PMF c1 round0</t>
    <phoneticPr fontId="1" type="noConversion"/>
  </si>
  <si>
    <t>PMF_8M4_0</t>
  </si>
  <si>
    <t>PMF_8M4_0</t>
    <phoneticPr fontId="1" type="noConversion"/>
  </si>
  <si>
    <t>PMF_8F4_0</t>
  </si>
  <si>
    <t>PMF_8F4_0</t>
    <phoneticPr fontId="1" type="noConversion"/>
  </si>
  <si>
    <t>PMF_8M4_1</t>
  </si>
  <si>
    <t>PMF_8M4_2</t>
  </si>
  <si>
    <t>PMF_8M4_3</t>
  </si>
  <si>
    <t>PMF_8F4_1</t>
  </si>
  <si>
    <t>PMF_8F4_2</t>
  </si>
  <si>
    <t>PMF_8F4_3</t>
  </si>
  <si>
    <t>PMF_16M4_0</t>
    <phoneticPr fontId="1" type="noConversion"/>
  </si>
  <si>
    <t>PMF_16M4_1</t>
  </si>
  <si>
    <t>PMF_16M4_2</t>
  </si>
  <si>
    <t>PMF_16M4_3</t>
  </si>
  <si>
    <t>PMF_16F4_0</t>
    <phoneticPr fontId="1" type="noConversion"/>
  </si>
  <si>
    <t>PMF_16F4_1</t>
  </si>
  <si>
    <t>PMF_16F4_2</t>
  </si>
  <si>
    <t>PMF_16F4_3</t>
  </si>
  <si>
    <t>264PMF UV c0 round0</t>
    <phoneticPr fontId="1" type="noConversion"/>
  </si>
  <si>
    <t>chroma</t>
    <phoneticPr fontId="1" type="noConversion"/>
  </si>
  <si>
    <t>PMF_M4_0</t>
    <phoneticPr fontId="1" type="noConversion"/>
  </si>
  <si>
    <t>PMF_F4_0</t>
    <phoneticPr fontId="1" type="noConversion"/>
  </si>
  <si>
    <t>INTER_PK4</t>
    <phoneticPr fontId="1" type="noConversion"/>
  </si>
  <si>
    <t>264PMF UV c1 round0</t>
    <phoneticPr fontId="1" type="noConversion"/>
  </si>
  <si>
    <t>PMF_M4_1</t>
  </si>
  <si>
    <t>TQITQ_M4</t>
  </si>
  <si>
    <t>PMF_M4_2</t>
  </si>
  <si>
    <t>PMF_M4_3</t>
  </si>
  <si>
    <t>TQITQ_F4</t>
  </si>
  <si>
    <t>PMF_F4_3</t>
  </si>
  <si>
    <t>pixel 读取接口</t>
    <phoneticPr fontId="1" type="noConversion"/>
  </si>
  <si>
    <t>y c0</t>
    <phoneticPr fontId="1" type="noConversion"/>
  </si>
  <si>
    <t>pixel 需求个数</t>
    <phoneticPr fontId="1" type="noConversion"/>
  </si>
  <si>
    <t>pixel 读取个数</t>
    <phoneticPr fontId="1" type="noConversion"/>
  </si>
  <si>
    <t>2x15</t>
    <phoneticPr fontId="1" type="noConversion"/>
  </si>
  <si>
    <t>y c0  16*1</t>
    <phoneticPr fontId="1" type="noConversion"/>
  </si>
  <si>
    <t>y c0  8*2</t>
    <phoneticPr fontId="1" type="noConversion"/>
  </si>
  <si>
    <t>2x32</t>
    <phoneticPr fontId="1" type="noConversion"/>
  </si>
  <si>
    <t>ram 颗粒度(pixel)</t>
    <phoneticPr fontId="1" type="noConversion"/>
  </si>
  <si>
    <t>y c1  16*1</t>
    <phoneticPr fontId="1" type="noConversion"/>
  </si>
  <si>
    <t>uv c0  8*1</t>
    <phoneticPr fontId="1" type="noConversion"/>
  </si>
  <si>
    <t>uv c0  4*2</t>
    <phoneticPr fontId="1" type="noConversion"/>
  </si>
  <si>
    <t>uv c1  8*1</t>
    <phoneticPr fontId="1" type="noConversion"/>
  </si>
  <si>
    <t>2x16</t>
    <phoneticPr fontId="1" type="noConversion"/>
  </si>
  <si>
    <t>2x7</t>
    <phoneticPr fontId="1" type="noConversion"/>
  </si>
  <si>
    <t xml:space="preserve">总结： Y 需要 4片 16x1 ram; UV 需要4片 8x1 ram; </t>
    <phoneticPr fontId="1" type="noConversion"/>
  </si>
  <si>
    <t>PMF_M16</t>
    <phoneticPr fontId="1" type="noConversion"/>
  </si>
  <si>
    <t>PMF_F16</t>
    <phoneticPr fontId="1" type="noConversion"/>
  </si>
  <si>
    <t>以112*112 空间统计</t>
    <phoneticPr fontId="1" type="noConversion"/>
  </si>
  <si>
    <t>Y</t>
    <phoneticPr fontId="1" type="noConversion"/>
  </si>
  <si>
    <t>总需求pixel</t>
    <phoneticPr fontId="1" type="noConversion"/>
  </si>
  <si>
    <t xml:space="preserve">ram 片 </t>
    <phoneticPr fontId="1" type="noConversion"/>
  </si>
  <si>
    <t>ram深度</t>
    <phoneticPr fontId="1" type="noConversion"/>
  </si>
  <si>
    <t>UV</t>
    <phoneticPr fontId="1" type="noConversion"/>
  </si>
  <si>
    <t>chanel</t>
    <phoneticPr fontId="1" type="noConversion"/>
  </si>
  <si>
    <t>ram 宽度（pixel)</t>
    <phoneticPr fontId="1" type="noConversion"/>
  </si>
  <si>
    <t>ram 宽度 (pixel)</t>
    <phoneticPr fontId="1" type="noConversion"/>
  </si>
  <si>
    <t>深度</t>
    <phoneticPr fontId="1" type="noConversion"/>
  </si>
  <si>
    <t>y c1</t>
    <phoneticPr fontId="1" type="noConversion"/>
  </si>
  <si>
    <t>可能利用复用节省</t>
    <phoneticPr fontId="1" type="noConversion"/>
  </si>
  <si>
    <t>uv c0</t>
    <phoneticPr fontId="1" type="noConversion"/>
  </si>
  <si>
    <t>x</t>
    <phoneticPr fontId="1" type="noConversion"/>
  </si>
  <si>
    <t>uv c1</t>
    <phoneticPr fontId="1" type="noConversion"/>
  </si>
  <si>
    <t>输出缓存 （单口，独享）</t>
    <phoneticPr fontId="1" type="noConversion"/>
  </si>
  <si>
    <t>基本用满</t>
    <phoneticPr fontId="1" type="noConversion"/>
  </si>
  <si>
    <t>可能可以缩减深度到16</t>
    <phoneticPr fontId="1" type="noConversion"/>
  </si>
  <si>
    <t>输入REF PIXEL RAM (单口，独享，每拍输入）</t>
    <phoneticPr fontId="1" type="noConversion"/>
  </si>
  <si>
    <t>输出block 顺序</t>
    <phoneticPr fontId="1" type="noConversion"/>
  </si>
  <si>
    <t>H265</t>
    <phoneticPr fontId="1" type="noConversion"/>
  </si>
  <si>
    <t>8x8</t>
    <phoneticPr fontId="1" type="noConversion"/>
  </si>
  <si>
    <t>16x16</t>
    <phoneticPr fontId="1" type="noConversion"/>
  </si>
  <si>
    <t>4x4</t>
    <phoneticPr fontId="1" type="noConversion"/>
  </si>
  <si>
    <t>8x2  -0</t>
    <phoneticPr fontId="1" type="noConversion"/>
  </si>
  <si>
    <t>4x4  -0</t>
    <phoneticPr fontId="1" type="noConversion"/>
  </si>
  <si>
    <t>Y</t>
    <phoneticPr fontId="1" type="noConversion"/>
  </si>
  <si>
    <t>32x32</t>
    <phoneticPr fontId="1" type="noConversion"/>
  </si>
  <si>
    <t>16x1 -0</t>
    <phoneticPr fontId="1" type="noConversion"/>
  </si>
  <si>
    <t>16x1 -32</t>
    <phoneticPr fontId="1" type="noConversion"/>
  </si>
  <si>
    <t>UV</t>
    <phoneticPr fontId="1" type="noConversion"/>
  </si>
  <si>
    <t>H265</t>
    <phoneticPr fontId="1" type="noConversion"/>
  </si>
  <si>
    <t>8x1 -0</t>
    <phoneticPr fontId="1" type="noConversion"/>
  </si>
  <si>
    <t>8x1 -16</t>
    <phoneticPr fontId="1" type="noConversion"/>
  </si>
  <si>
    <t>4x4 channel</t>
    <phoneticPr fontId="1" type="noConversion"/>
  </si>
  <si>
    <t>H264</t>
    <phoneticPr fontId="1" type="noConversion"/>
  </si>
  <si>
    <t>凑两笔输出 8x2</t>
    <phoneticPr fontId="1" type="noConversion"/>
  </si>
  <si>
    <t>凑4笔输出 4x4 channel</t>
    <phoneticPr fontId="1" type="noConversion"/>
  </si>
  <si>
    <t>U 8x1 -0</t>
    <phoneticPr fontId="1" type="noConversion"/>
  </si>
  <si>
    <t>V 8x1 -0</t>
    <phoneticPr fontId="1" type="noConversion"/>
  </si>
  <si>
    <t>4x2 U</t>
    <phoneticPr fontId="1" type="noConversion"/>
  </si>
  <si>
    <t>4x2 V</t>
    <phoneticPr fontId="1" type="noConversion"/>
  </si>
  <si>
    <t>8x8 channel</t>
    <phoneticPr fontId="1" type="noConversion"/>
  </si>
  <si>
    <t>8x2  -8</t>
    <phoneticPr fontId="1" type="noConversion"/>
  </si>
  <si>
    <t>重组输出顺序</t>
    <phoneticPr fontId="1" type="noConversion"/>
  </si>
  <si>
    <t>原始输出顺序</t>
    <phoneticPr fontId="1" type="noConversion"/>
  </si>
  <si>
    <t xml:space="preserve">64x64 </t>
    <phoneticPr fontId="1" type="noConversion"/>
  </si>
  <si>
    <t>以4个独立的 32x32 计算</t>
    <phoneticPr fontId="1" type="noConversion"/>
  </si>
  <si>
    <t xml:space="preserve">32x32 </t>
    <phoneticPr fontId="1" type="noConversion"/>
  </si>
  <si>
    <t>以4个独立的16x16 计算</t>
    <phoneticPr fontId="1" type="noConversion"/>
  </si>
  <si>
    <t>16x1 -1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</si>
</sst>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>
      <alignment vertical="top"/>
    </xf>
    <xf numFmtId="0" fontId="6" fillId="0" borderId="2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Fo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10" fillId="0" borderId="13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3" borderId="13" xfId="0" applyFill="1" applyBorder="1">
      <alignment vertical="center"/>
    </xf>
    <xf numFmtId="0" fontId="10" fillId="0" borderId="16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0" borderId="20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9466-5853-41C3-ACC8-1F2734C6766C}">
  <dimension ref="A1:U207"/>
  <sheetViews>
    <sheetView topLeftCell="A81" zoomScale="115" zoomScaleNormal="115" workbookViewId="0">
      <selection activeCell="G104" sqref="G104"/>
    </sheetView>
  </sheetViews>
  <sheetFormatPr defaultRowHeight="14.25" x14ac:dyDescent="0.2"/>
  <cols>
    <col min="1" max="1" width="21.5" customWidth="1"/>
    <col min="2" max="2" width="12.875" customWidth="1"/>
    <col min="3" max="3" width="13.375" customWidth="1"/>
    <col min="7" max="7" width="13" customWidth="1"/>
    <col min="13" max="13" width="10.25" customWidth="1"/>
  </cols>
  <sheetData>
    <row r="1" spans="1:21" x14ac:dyDescent="0.2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>
        <v>420</v>
      </c>
      <c r="G1" s="3">
        <v>422</v>
      </c>
      <c r="H1" s="3" t="s">
        <v>67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3" t="s">
        <v>68</v>
      </c>
      <c r="B2" s="3">
        <v>64</v>
      </c>
      <c r="C2" s="3">
        <v>8</v>
      </c>
      <c r="D2" s="3">
        <v>6</v>
      </c>
      <c r="E2" s="3" t="s">
        <v>69</v>
      </c>
      <c r="F2" s="3" t="s">
        <v>70</v>
      </c>
      <c r="G2" s="3" t="s">
        <v>71</v>
      </c>
      <c r="H2" s="3" t="s">
        <v>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3" t="s">
        <v>73</v>
      </c>
      <c r="B3" s="3">
        <v>16</v>
      </c>
      <c r="C3" s="3">
        <v>24</v>
      </c>
      <c r="D3" s="3">
        <v>6</v>
      </c>
      <c r="E3" s="3" t="s">
        <v>74</v>
      </c>
      <c r="F3" s="3" t="s">
        <v>68</v>
      </c>
      <c r="G3" s="3" t="s">
        <v>75</v>
      </c>
      <c r="H3" s="3" t="s">
        <v>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3" t="s">
        <v>77</v>
      </c>
      <c r="B4" s="3">
        <v>4</v>
      </c>
      <c r="C4" s="3">
        <v>78</v>
      </c>
      <c r="D4" s="3">
        <v>6</v>
      </c>
      <c r="E4" s="3" t="s">
        <v>78</v>
      </c>
      <c r="F4" s="3" t="s">
        <v>73</v>
      </c>
      <c r="G4" s="3" t="s">
        <v>79</v>
      </c>
      <c r="H4" s="3" t="s">
        <v>76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3" t="s">
        <v>80</v>
      </c>
      <c r="B5" s="3">
        <v>1</v>
      </c>
      <c r="C5" s="3">
        <v>284</v>
      </c>
      <c r="D5" s="3">
        <v>6</v>
      </c>
      <c r="E5" s="3">
        <v>2</v>
      </c>
      <c r="F5" s="3" t="s">
        <v>77</v>
      </c>
      <c r="G5" s="3" t="s">
        <v>81</v>
      </c>
      <c r="H5" s="3" t="s">
        <v>72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5" t="s">
        <v>82</v>
      </c>
      <c r="B7" s="5">
        <v>3200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</row>
    <row r="8" spans="1:21" x14ac:dyDescent="0.2">
      <c r="A8" s="22" t="s">
        <v>83</v>
      </c>
      <c r="B8" s="23"/>
      <c r="C8" s="23"/>
      <c r="D8" s="23"/>
      <c r="E8" s="23"/>
      <c r="F8" s="23"/>
      <c r="G8" s="23"/>
      <c r="H8" s="23"/>
      <c r="I8" s="23"/>
      <c r="J8" s="23"/>
      <c r="K8" s="24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">
      <c r="A9" s="6" t="s">
        <v>84</v>
      </c>
      <c r="B9" s="7" t="s">
        <v>63</v>
      </c>
      <c r="C9" s="7" t="s">
        <v>64</v>
      </c>
      <c r="D9" s="6" t="s">
        <v>85</v>
      </c>
      <c r="E9" s="6" t="s">
        <v>86</v>
      </c>
      <c r="F9" s="5"/>
      <c r="G9" s="8" t="s">
        <v>84</v>
      </c>
      <c r="H9" s="5" t="s">
        <v>87</v>
      </c>
      <c r="I9" s="9" t="s">
        <v>63</v>
      </c>
      <c r="J9" s="9" t="s">
        <v>64</v>
      </c>
      <c r="K9" s="8" t="s">
        <v>85</v>
      </c>
      <c r="L9" s="8" t="s">
        <v>88</v>
      </c>
      <c r="M9" s="8" t="s">
        <v>86</v>
      </c>
      <c r="N9" s="4"/>
      <c r="O9" s="10" t="s">
        <v>84</v>
      </c>
      <c r="P9" s="8" t="s">
        <v>87</v>
      </c>
      <c r="Q9" s="11" t="s">
        <v>63</v>
      </c>
      <c r="R9" s="9" t="s">
        <v>64</v>
      </c>
      <c r="S9" s="8" t="s">
        <v>85</v>
      </c>
      <c r="T9" s="8" t="s">
        <v>88</v>
      </c>
      <c r="U9" s="8" t="s">
        <v>86</v>
      </c>
    </row>
    <row r="10" spans="1:21" x14ac:dyDescent="0.2">
      <c r="A10" s="9" t="s">
        <v>68</v>
      </c>
      <c r="B10" s="9">
        <v>64</v>
      </c>
      <c r="C10" s="9">
        <v>8</v>
      </c>
      <c r="D10" s="8">
        <v>2</v>
      </c>
      <c r="E10" s="8">
        <f>B10*C10*D10</f>
        <v>1024</v>
      </c>
      <c r="F10" s="5"/>
      <c r="G10" s="25" t="s">
        <v>89</v>
      </c>
      <c r="H10" s="9" t="s">
        <v>90</v>
      </c>
      <c r="I10" s="9">
        <v>64</v>
      </c>
      <c r="J10" s="9">
        <v>8</v>
      </c>
      <c r="K10" s="8">
        <v>2</v>
      </c>
      <c r="L10" s="8">
        <v>1024</v>
      </c>
      <c r="M10" s="28">
        <v>2440</v>
      </c>
      <c r="N10" s="4"/>
      <c r="O10" s="25" t="s">
        <v>89</v>
      </c>
      <c r="P10" s="7" t="s">
        <v>91</v>
      </c>
      <c r="Q10" s="9">
        <v>64</v>
      </c>
      <c r="R10" s="9">
        <v>8</v>
      </c>
      <c r="S10" s="8">
        <v>4</v>
      </c>
      <c r="T10" s="8">
        <f>Q10*R10*S10</f>
        <v>2048</v>
      </c>
      <c r="U10" s="28">
        <v>2784</v>
      </c>
    </row>
    <row r="11" spans="1:21" x14ac:dyDescent="0.2">
      <c r="A11" s="9" t="s">
        <v>73</v>
      </c>
      <c r="B11" s="9">
        <v>16</v>
      </c>
      <c r="C11" s="9">
        <v>23</v>
      </c>
      <c r="D11" s="8">
        <v>3</v>
      </c>
      <c r="E11" s="8">
        <f t="shared" ref="E11:E13" si="0">B11*C11*D11</f>
        <v>1104</v>
      </c>
      <c r="F11" s="5"/>
      <c r="G11" s="26"/>
      <c r="H11" s="9" t="s">
        <v>92</v>
      </c>
      <c r="I11" s="9">
        <v>16</v>
      </c>
      <c r="J11" s="9">
        <v>23</v>
      </c>
      <c r="K11" s="8">
        <v>3</v>
      </c>
      <c r="L11" s="8">
        <v>1104</v>
      </c>
      <c r="M11" s="29"/>
      <c r="N11" s="4"/>
      <c r="O11" s="27"/>
      <c r="P11" s="9" t="s">
        <v>93</v>
      </c>
      <c r="Q11" s="9">
        <v>16</v>
      </c>
      <c r="R11" s="9">
        <v>23</v>
      </c>
      <c r="S11" s="8">
        <v>2</v>
      </c>
      <c r="T11" s="8">
        <f t="shared" ref="T11:T14" si="1">Q11*R11*S11</f>
        <v>736</v>
      </c>
      <c r="U11" s="30"/>
    </row>
    <row r="12" spans="1:21" x14ac:dyDescent="0.2">
      <c r="A12" s="9" t="s">
        <v>77</v>
      </c>
      <c r="B12" s="9">
        <v>4</v>
      </c>
      <c r="C12" s="9">
        <v>78</v>
      </c>
      <c r="D12" s="8">
        <v>3</v>
      </c>
      <c r="E12" s="8">
        <f t="shared" si="0"/>
        <v>936</v>
      </c>
      <c r="F12" s="5"/>
      <c r="G12" s="27"/>
      <c r="H12" s="9" t="s">
        <v>94</v>
      </c>
      <c r="I12" s="8">
        <v>4</v>
      </c>
      <c r="J12" s="9">
        <v>78</v>
      </c>
      <c r="K12" s="12">
        <v>1</v>
      </c>
      <c r="L12" s="8">
        <v>312</v>
      </c>
      <c r="M12" s="30"/>
      <c r="N12" s="4"/>
      <c r="O12" s="31" t="s">
        <v>89</v>
      </c>
      <c r="P12" s="9" t="s">
        <v>95</v>
      </c>
      <c r="Q12" s="9">
        <v>16</v>
      </c>
      <c r="R12" s="9">
        <v>23</v>
      </c>
      <c r="S12" s="8">
        <v>2</v>
      </c>
      <c r="T12" s="8">
        <f t="shared" si="1"/>
        <v>736</v>
      </c>
      <c r="U12" s="28">
        <v>2608</v>
      </c>
    </row>
    <row r="13" spans="1:21" x14ac:dyDescent="0.2">
      <c r="A13" s="9" t="s">
        <v>96</v>
      </c>
      <c r="B13" s="9">
        <v>4</v>
      </c>
      <c r="C13" s="9">
        <v>78</v>
      </c>
      <c r="D13" s="8">
        <v>2</v>
      </c>
      <c r="E13" s="8">
        <f t="shared" si="0"/>
        <v>624</v>
      </c>
      <c r="F13" s="5"/>
      <c r="G13" s="31" t="s">
        <v>97</v>
      </c>
      <c r="H13" s="9" t="s">
        <v>98</v>
      </c>
      <c r="I13" s="9">
        <v>4</v>
      </c>
      <c r="J13" s="9">
        <v>156</v>
      </c>
      <c r="K13" s="12">
        <v>2</v>
      </c>
      <c r="L13" s="8">
        <v>1248</v>
      </c>
      <c r="M13" s="28">
        <v>2496</v>
      </c>
      <c r="N13" s="4"/>
      <c r="O13" s="32"/>
      <c r="P13" s="9" t="s">
        <v>99</v>
      </c>
      <c r="Q13" s="9">
        <v>4</v>
      </c>
      <c r="R13" s="9">
        <v>78</v>
      </c>
      <c r="S13" s="12">
        <v>4</v>
      </c>
      <c r="T13" s="8">
        <f t="shared" si="1"/>
        <v>1248</v>
      </c>
      <c r="U13" s="29"/>
    </row>
    <row r="14" spans="1:21" x14ac:dyDescent="0.2">
      <c r="A14" s="8"/>
      <c r="B14" s="8"/>
      <c r="C14" s="8"/>
      <c r="D14" s="8"/>
      <c r="E14" s="13">
        <v>3688</v>
      </c>
      <c r="F14" s="5"/>
      <c r="G14" s="33"/>
      <c r="H14" s="9" t="s">
        <v>100</v>
      </c>
      <c r="I14" s="9">
        <v>4</v>
      </c>
      <c r="J14" s="9">
        <v>156</v>
      </c>
      <c r="K14" s="8">
        <v>2</v>
      </c>
      <c r="L14" s="8">
        <v>1248</v>
      </c>
      <c r="M14" s="30"/>
      <c r="N14" s="4"/>
      <c r="O14" s="33"/>
      <c r="P14" s="9" t="s">
        <v>100</v>
      </c>
      <c r="Q14" s="9">
        <v>4</v>
      </c>
      <c r="R14" s="9">
        <v>78</v>
      </c>
      <c r="S14" s="8">
        <v>2</v>
      </c>
      <c r="T14" s="8">
        <f t="shared" si="1"/>
        <v>624</v>
      </c>
      <c r="U14" s="30"/>
    </row>
    <row r="15" spans="1:21" x14ac:dyDescent="0.2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9" t="s">
        <v>101</v>
      </c>
      <c r="B16" s="9" t="s">
        <v>63</v>
      </c>
      <c r="C16" s="35" t="s">
        <v>126</v>
      </c>
      <c r="D16" s="8" t="s">
        <v>85</v>
      </c>
      <c r="E16" s="8"/>
      <c r="F16" s="5"/>
      <c r="G16" s="10" t="s">
        <v>102</v>
      </c>
      <c r="H16" s="8" t="s">
        <v>103</v>
      </c>
      <c r="I16" s="11" t="s">
        <v>63</v>
      </c>
      <c r="J16" s="9" t="s">
        <v>64</v>
      </c>
      <c r="K16" s="8" t="s">
        <v>85</v>
      </c>
      <c r="L16" s="8" t="s">
        <v>88</v>
      </c>
      <c r="M16" s="8" t="s">
        <v>104</v>
      </c>
      <c r="N16" s="4"/>
      <c r="O16" s="10" t="s">
        <v>84</v>
      </c>
      <c r="P16" s="8" t="s">
        <v>87</v>
      </c>
      <c r="Q16" s="11" t="s">
        <v>63</v>
      </c>
      <c r="R16" s="9" t="s">
        <v>64</v>
      </c>
      <c r="S16" s="8" t="s">
        <v>85</v>
      </c>
      <c r="T16" s="8" t="s">
        <v>88</v>
      </c>
      <c r="U16" s="8" t="s">
        <v>86</v>
      </c>
    </row>
    <row r="17" spans="1:21" x14ac:dyDescent="0.2">
      <c r="A17" s="34" t="s">
        <v>122</v>
      </c>
      <c r="B17" s="9">
        <v>64</v>
      </c>
      <c r="C17" s="15">
        <v>4</v>
      </c>
      <c r="D17" s="8">
        <v>4</v>
      </c>
      <c r="E17" s="8">
        <f>B17*C17*D17</f>
        <v>1024</v>
      </c>
      <c r="F17" s="5"/>
      <c r="G17" s="25" t="s">
        <v>97</v>
      </c>
      <c r="H17" s="7" t="s">
        <v>70</v>
      </c>
      <c r="I17" s="9">
        <v>64</v>
      </c>
      <c r="J17" s="15">
        <v>4</v>
      </c>
      <c r="K17" s="8">
        <v>2</v>
      </c>
      <c r="L17" s="8">
        <v>512</v>
      </c>
      <c r="M17" s="28">
        <v>2384</v>
      </c>
      <c r="N17" s="4"/>
      <c r="O17" s="25" t="s">
        <v>89</v>
      </c>
      <c r="P17" s="7" t="s">
        <v>90</v>
      </c>
      <c r="Q17" s="9">
        <v>64</v>
      </c>
      <c r="R17" s="9">
        <v>8</v>
      </c>
      <c r="S17" s="8">
        <v>2</v>
      </c>
      <c r="T17" s="8">
        <f>Q17*R17*S17</f>
        <v>1024</v>
      </c>
      <c r="U17" s="28">
        <v>2496</v>
      </c>
    </row>
    <row r="18" spans="1:21" x14ac:dyDescent="0.2">
      <c r="A18" s="34" t="s">
        <v>123</v>
      </c>
      <c r="B18" s="9">
        <v>16</v>
      </c>
      <c r="C18" s="8">
        <v>11</v>
      </c>
      <c r="D18" s="8">
        <v>4</v>
      </c>
      <c r="E18" s="8">
        <f t="shared" ref="E18:E20" si="2">B18*C18*D18</f>
        <v>704</v>
      </c>
      <c r="F18" s="5"/>
      <c r="G18" s="26"/>
      <c r="H18" s="9" t="s">
        <v>68</v>
      </c>
      <c r="I18" s="9">
        <v>16</v>
      </c>
      <c r="J18" s="8">
        <v>11</v>
      </c>
      <c r="K18" s="8">
        <v>3</v>
      </c>
      <c r="L18" s="8">
        <v>528</v>
      </c>
      <c r="M18" s="29"/>
      <c r="N18" s="4"/>
      <c r="O18" s="26"/>
      <c r="P18" s="9" t="s">
        <v>105</v>
      </c>
      <c r="Q18" s="9">
        <v>16</v>
      </c>
      <c r="R18" s="9">
        <v>23</v>
      </c>
      <c r="S18" s="8">
        <v>4</v>
      </c>
      <c r="T18" s="8">
        <f t="shared" ref="T18:T21" si="3">Q18*R18*S18</f>
        <v>1472</v>
      </c>
      <c r="U18" s="29"/>
    </row>
    <row r="19" spans="1:21" x14ac:dyDescent="0.2">
      <c r="A19" s="34" t="s">
        <v>124</v>
      </c>
      <c r="B19" s="9">
        <v>4</v>
      </c>
      <c r="C19" s="8">
        <v>38</v>
      </c>
      <c r="D19" s="8">
        <v>4</v>
      </c>
      <c r="E19" s="8">
        <f t="shared" si="2"/>
        <v>608</v>
      </c>
      <c r="F19" s="5"/>
      <c r="G19" s="27"/>
      <c r="H19" s="5" t="s">
        <v>106</v>
      </c>
      <c r="I19" s="9">
        <v>4</v>
      </c>
      <c r="J19" s="8">
        <v>38</v>
      </c>
      <c r="K19" s="16">
        <v>1</v>
      </c>
      <c r="L19" s="8">
        <v>152</v>
      </c>
      <c r="M19" s="30"/>
      <c r="N19" s="4"/>
      <c r="O19" s="27"/>
      <c r="P19" s="9"/>
      <c r="Q19" s="8"/>
      <c r="R19" s="9"/>
      <c r="S19" s="12"/>
      <c r="T19" s="8">
        <f t="shared" si="3"/>
        <v>0</v>
      </c>
      <c r="U19" s="30"/>
    </row>
    <row r="20" spans="1:21" x14ac:dyDescent="0.2">
      <c r="A20" s="34" t="s">
        <v>125</v>
      </c>
      <c r="B20" s="9">
        <v>1</v>
      </c>
      <c r="C20" s="8">
        <v>140</v>
      </c>
      <c r="D20" s="8">
        <v>2</v>
      </c>
      <c r="E20" s="8">
        <f t="shared" si="2"/>
        <v>280</v>
      </c>
      <c r="F20" s="5"/>
      <c r="G20" s="25" t="s">
        <v>107</v>
      </c>
      <c r="H20" s="9" t="s">
        <v>108</v>
      </c>
      <c r="I20" s="9">
        <v>4</v>
      </c>
      <c r="J20" s="8">
        <v>76</v>
      </c>
      <c r="K20" s="16">
        <v>2</v>
      </c>
      <c r="L20" s="8">
        <v>608</v>
      </c>
      <c r="M20" s="28">
        <v>2336</v>
      </c>
      <c r="N20" s="4"/>
      <c r="O20" s="31" t="s">
        <v>89</v>
      </c>
      <c r="P20" s="9" t="s">
        <v>99</v>
      </c>
      <c r="Q20" s="9">
        <v>4</v>
      </c>
      <c r="R20" s="9">
        <v>78</v>
      </c>
      <c r="S20" s="12">
        <v>4</v>
      </c>
      <c r="T20" s="8">
        <f t="shared" si="3"/>
        <v>1248</v>
      </c>
      <c r="U20" s="28">
        <v>2496</v>
      </c>
    </row>
    <row r="21" spans="1:21" x14ac:dyDescent="0.2">
      <c r="A21" s="8"/>
      <c r="B21" s="8"/>
      <c r="C21" s="8"/>
      <c r="D21" s="8"/>
      <c r="E21" s="13">
        <v>1800</v>
      </c>
      <c r="F21" s="5"/>
      <c r="G21" s="27"/>
      <c r="H21" s="9" t="s">
        <v>109</v>
      </c>
      <c r="I21" s="9">
        <v>1</v>
      </c>
      <c r="J21" s="8">
        <v>280</v>
      </c>
      <c r="K21" s="8">
        <v>2</v>
      </c>
      <c r="L21" s="8">
        <v>560</v>
      </c>
      <c r="M21" s="30"/>
      <c r="N21" s="4"/>
      <c r="O21" s="33"/>
      <c r="P21" s="9" t="s">
        <v>110</v>
      </c>
      <c r="Q21" s="9">
        <v>4</v>
      </c>
      <c r="R21" s="9">
        <v>78</v>
      </c>
      <c r="S21" s="8">
        <v>4</v>
      </c>
      <c r="T21" s="8">
        <f t="shared" si="3"/>
        <v>1248</v>
      </c>
      <c r="U21" s="30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22" t="s">
        <v>111</v>
      </c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8" t="s">
        <v>84</v>
      </c>
      <c r="B24" s="9" t="s">
        <v>63</v>
      </c>
      <c r="C24" s="9" t="s">
        <v>112</v>
      </c>
      <c r="D24" s="8" t="s">
        <v>85</v>
      </c>
      <c r="E24" s="8" t="s">
        <v>86</v>
      </c>
      <c r="F24" s="5"/>
      <c r="G24" s="8" t="s">
        <v>113</v>
      </c>
      <c r="H24" s="8" t="s">
        <v>114</v>
      </c>
      <c r="I24" s="8" t="s">
        <v>115</v>
      </c>
      <c r="J24" s="8" t="s">
        <v>116</v>
      </c>
      <c r="K24" s="8" t="s">
        <v>117</v>
      </c>
      <c r="L24" s="8" t="s">
        <v>118</v>
      </c>
      <c r="M24" s="8"/>
      <c r="N24" s="4"/>
      <c r="O24" s="10" t="s">
        <v>102</v>
      </c>
      <c r="P24" s="8" t="s">
        <v>103</v>
      </c>
      <c r="Q24" s="11" t="s">
        <v>63</v>
      </c>
      <c r="R24" s="9" t="s">
        <v>64</v>
      </c>
      <c r="S24" s="8" t="s">
        <v>85</v>
      </c>
      <c r="T24" s="8" t="s">
        <v>88</v>
      </c>
      <c r="U24" s="37" t="s">
        <v>132</v>
      </c>
    </row>
    <row r="25" spans="1:21" x14ac:dyDescent="0.2">
      <c r="A25" s="9" t="s">
        <v>68</v>
      </c>
      <c r="B25" s="9">
        <v>64</v>
      </c>
      <c r="C25" s="9">
        <v>4</v>
      </c>
      <c r="D25" s="8">
        <v>2</v>
      </c>
      <c r="E25" s="8">
        <f>B25*C25*D25</f>
        <v>512</v>
      </c>
      <c r="F25" s="5"/>
      <c r="G25" s="9" t="s">
        <v>68</v>
      </c>
      <c r="H25" s="8">
        <v>512</v>
      </c>
      <c r="I25" s="8">
        <v>256</v>
      </c>
      <c r="J25" s="8">
        <v>768</v>
      </c>
      <c r="K25" s="8">
        <v>768</v>
      </c>
      <c r="L25" s="8">
        <v>768</v>
      </c>
      <c r="M25" s="13" t="s">
        <v>119</v>
      </c>
      <c r="N25" s="4"/>
      <c r="O25" s="25" t="s">
        <v>89</v>
      </c>
      <c r="P25" s="36" t="s">
        <v>127</v>
      </c>
      <c r="Q25" s="9">
        <v>64</v>
      </c>
      <c r="R25" s="9">
        <v>4</v>
      </c>
      <c r="S25" s="8">
        <v>4</v>
      </c>
      <c r="T25" s="8">
        <f>Q25*R25*S25</f>
        <v>1024</v>
      </c>
      <c r="U25" s="28">
        <f>T25+T26</f>
        <v>1376</v>
      </c>
    </row>
    <row r="26" spans="1:21" x14ac:dyDescent="0.2">
      <c r="A26" s="9" t="s">
        <v>73</v>
      </c>
      <c r="B26" s="9">
        <v>16</v>
      </c>
      <c r="C26" s="9">
        <v>16</v>
      </c>
      <c r="D26" s="8">
        <v>2</v>
      </c>
      <c r="E26" s="8">
        <f t="shared" ref="E26:E28" si="4">B26*C26*D26</f>
        <v>512</v>
      </c>
      <c r="F26" s="5"/>
      <c r="G26" s="9" t="s">
        <v>73</v>
      </c>
      <c r="H26" s="8">
        <v>512</v>
      </c>
      <c r="I26" s="8">
        <v>256</v>
      </c>
      <c r="J26" s="8">
        <v>768</v>
      </c>
      <c r="K26" s="8">
        <v>768</v>
      </c>
      <c r="L26" s="8">
        <v>1536</v>
      </c>
      <c r="M26" s="28" t="s">
        <v>120</v>
      </c>
      <c r="N26" s="4"/>
      <c r="O26" s="27"/>
      <c r="P26" s="35" t="s">
        <v>128</v>
      </c>
      <c r="Q26" s="9">
        <v>16</v>
      </c>
      <c r="R26" s="9">
        <v>11</v>
      </c>
      <c r="S26" s="8">
        <v>2</v>
      </c>
      <c r="T26" s="8">
        <f t="shared" ref="T26:T29" si="5">Q26*R26*S26</f>
        <v>352</v>
      </c>
      <c r="U26" s="30"/>
    </row>
    <row r="27" spans="1:21" x14ac:dyDescent="0.2">
      <c r="A27" s="9" t="s">
        <v>77</v>
      </c>
      <c r="B27" s="9">
        <v>4</v>
      </c>
      <c r="C27" s="9">
        <v>64</v>
      </c>
      <c r="D27" s="8">
        <v>2</v>
      </c>
      <c r="E27" s="8">
        <f t="shared" si="4"/>
        <v>512</v>
      </c>
      <c r="F27" s="5"/>
      <c r="G27" s="17" t="s">
        <v>77</v>
      </c>
      <c r="H27" s="18">
        <v>1024</v>
      </c>
      <c r="I27" s="18">
        <v>256</v>
      </c>
      <c r="J27" s="18">
        <v>1280</v>
      </c>
      <c r="K27" s="18">
        <v>512</v>
      </c>
      <c r="L27" s="18">
        <v>1792</v>
      </c>
      <c r="M27" s="30"/>
      <c r="N27" s="4"/>
      <c r="O27" s="31" t="s">
        <v>89</v>
      </c>
      <c r="P27" s="35" t="s">
        <v>129</v>
      </c>
      <c r="Q27" s="9">
        <v>16</v>
      </c>
      <c r="R27" s="9">
        <v>11</v>
      </c>
      <c r="S27" s="8">
        <v>2</v>
      </c>
      <c r="T27" s="8">
        <f t="shared" si="5"/>
        <v>352</v>
      </c>
      <c r="U27" s="28">
        <f>T27+T28+T29</f>
        <v>1240</v>
      </c>
    </row>
    <row r="28" spans="1:21" x14ac:dyDescent="0.2">
      <c r="A28" s="9" t="s">
        <v>96</v>
      </c>
      <c r="B28" s="9">
        <v>4</v>
      </c>
      <c r="C28" s="9">
        <v>64</v>
      </c>
      <c r="D28" s="8">
        <v>2</v>
      </c>
      <c r="E28" s="8">
        <f t="shared" si="4"/>
        <v>512</v>
      </c>
      <c r="F28" s="5"/>
      <c r="G28" s="8" t="s">
        <v>70</v>
      </c>
      <c r="H28" s="8">
        <v>0</v>
      </c>
      <c r="I28" s="8">
        <v>512</v>
      </c>
      <c r="J28" s="8">
        <v>512</v>
      </c>
      <c r="K28" s="8">
        <v>0</v>
      </c>
      <c r="L28" s="8">
        <v>512</v>
      </c>
      <c r="M28" s="13" t="s">
        <v>121</v>
      </c>
      <c r="N28" s="4"/>
      <c r="O28" s="32"/>
      <c r="P28" s="35" t="s">
        <v>130</v>
      </c>
      <c r="Q28" s="9">
        <v>4</v>
      </c>
      <c r="R28" s="9">
        <v>38</v>
      </c>
      <c r="S28" s="12">
        <v>4</v>
      </c>
      <c r="T28" s="8">
        <f t="shared" si="5"/>
        <v>608</v>
      </c>
      <c r="U28" s="29"/>
    </row>
    <row r="29" spans="1:21" x14ac:dyDescent="0.2">
      <c r="A29" s="8"/>
      <c r="B29" s="8"/>
      <c r="C29" s="8"/>
      <c r="D29" s="8"/>
      <c r="E29" s="8">
        <v>2048</v>
      </c>
      <c r="F29" s="5"/>
      <c r="G29" s="5"/>
      <c r="H29" s="5"/>
      <c r="I29" s="5"/>
      <c r="J29" s="5"/>
      <c r="K29" s="5"/>
      <c r="L29" s="5"/>
      <c r="M29" s="5"/>
      <c r="N29" s="4"/>
      <c r="O29" s="33"/>
      <c r="P29" s="35" t="s">
        <v>131</v>
      </c>
      <c r="Q29" s="9">
        <v>1</v>
      </c>
      <c r="R29" s="8">
        <v>140</v>
      </c>
      <c r="S29" s="8">
        <v>2</v>
      </c>
      <c r="T29" s="8">
        <f t="shared" si="5"/>
        <v>280</v>
      </c>
      <c r="U29" s="30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19" t="s">
        <v>101</v>
      </c>
      <c r="B31" s="20" t="s">
        <v>63</v>
      </c>
      <c r="C31" s="20" t="s">
        <v>112</v>
      </c>
      <c r="D31" s="19" t="s">
        <v>85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34" t="s">
        <v>122</v>
      </c>
      <c r="B32" s="20">
        <v>64</v>
      </c>
      <c r="C32" s="21">
        <v>2</v>
      </c>
      <c r="D32" s="19">
        <v>2</v>
      </c>
      <c r="E32" s="8">
        <f>B32*C32*D32</f>
        <v>256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34" t="s">
        <v>123</v>
      </c>
      <c r="B33" s="20">
        <v>16</v>
      </c>
      <c r="C33" s="19">
        <v>4</v>
      </c>
      <c r="D33" s="19">
        <v>2</v>
      </c>
      <c r="E33" s="8">
        <f t="shared" ref="E33:E35" si="6">B33*C33*D33</f>
        <v>128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34" t="s">
        <v>124</v>
      </c>
      <c r="B34" s="20">
        <v>4</v>
      </c>
      <c r="C34" s="19">
        <v>16</v>
      </c>
      <c r="D34" s="19">
        <v>2</v>
      </c>
      <c r="E34" s="8">
        <f t="shared" si="6"/>
        <v>128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34" t="s">
        <v>125</v>
      </c>
      <c r="B35" s="20">
        <v>1</v>
      </c>
      <c r="C35" s="19">
        <v>64</v>
      </c>
      <c r="D35" s="19">
        <v>2</v>
      </c>
      <c r="E35" s="8">
        <f t="shared" si="6"/>
        <v>128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19"/>
      <c r="B36" s="19"/>
      <c r="C36" s="19"/>
      <c r="D36" s="19"/>
      <c r="E36" s="19">
        <v>640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45" t="s">
        <v>181</v>
      </c>
      <c r="B38" s="46"/>
      <c r="C38" s="46"/>
      <c r="D38" s="46"/>
      <c r="E38" s="4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51" t="s">
        <v>169</v>
      </c>
      <c r="B39" s="47" t="s">
        <v>182</v>
      </c>
      <c r="C39" s="47" t="s">
        <v>183</v>
      </c>
      <c r="D39" s="47" t="s">
        <v>184</v>
      </c>
      <c r="E39" s="47" t="s">
        <v>185</v>
      </c>
      <c r="F39" s="3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43" t="s">
        <v>179</v>
      </c>
      <c r="B40" s="44">
        <v>128</v>
      </c>
      <c r="C40" s="48">
        <v>1</v>
      </c>
      <c r="D40" s="42">
        <v>4</v>
      </c>
      <c r="E40" s="42">
        <f>B40*C40*D40</f>
        <v>512</v>
      </c>
      <c r="F40" s="3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47" t="s">
        <v>187</v>
      </c>
      <c r="B41" s="42">
        <v>256</v>
      </c>
      <c r="C41" s="42">
        <v>1</v>
      </c>
      <c r="D41" s="42">
        <v>4</v>
      </c>
      <c r="E41" s="42">
        <f>B41*C41*D41</f>
        <v>1024</v>
      </c>
      <c r="F41" s="3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47" t="s">
        <v>186</v>
      </c>
      <c r="B42" s="42"/>
      <c r="C42" s="42"/>
      <c r="D42" s="42"/>
      <c r="E42" s="51">
        <f>SUM(E40:E41)</f>
        <v>1536</v>
      </c>
      <c r="F42" s="3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49"/>
      <c r="B43" s="49"/>
      <c r="C43" s="49"/>
      <c r="D43" s="49"/>
      <c r="E43" s="4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51" t="s">
        <v>170</v>
      </c>
      <c r="B44" s="47"/>
      <c r="C44" s="47"/>
      <c r="D44" s="47"/>
      <c r="E44" s="47"/>
      <c r="F44" s="3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43" t="s">
        <v>171</v>
      </c>
      <c r="B45" s="44">
        <v>64</v>
      </c>
      <c r="C45" s="48">
        <v>4</v>
      </c>
      <c r="D45" s="42">
        <v>4</v>
      </c>
      <c r="E45" s="42">
        <f>B45*C45*D45</f>
        <v>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47" t="s">
        <v>178</v>
      </c>
      <c r="B46" s="42">
        <v>32</v>
      </c>
      <c r="C46" s="42">
        <v>4</v>
      </c>
      <c r="D46" s="42">
        <v>2</v>
      </c>
      <c r="E46" s="42">
        <f t="shared" ref="E46" si="7">B46*C46*D46</f>
        <v>256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47" t="s">
        <v>186</v>
      </c>
      <c r="B47" s="42"/>
      <c r="C47" s="42"/>
      <c r="D47" s="42"/>
      <c r="E47" s="51">
        <f>SUM(E45:E46)</f>
        <v>1280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46"/>
      <c r="B48" s="46"/>
      <c r="C48" s="46"/>
      <c r="D48" s="46"/>
      <c r="E48" s="4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51" t="s">
        <v>172</v>
      </c>
      <c r="B49" s="47"/>
      <c r="C49" s="47"/>
      <c r="D49" s="47"/>
      <c r="E49" s="47"/>
      <c r="F49" s="3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43" t="s">
        <v>176</v>
      </c>
      <c r="B50" s="44">
        <v>16</v>
      </c>
      <c r="C50" s="48">
        <v>16</v>
      </c>
      <c r="D50" s="42">
        <v>2</v>
      </c>
      <c r="E50" s="42">
        <f t="shared" ref="E50:E52" si="8">B50*C50*D50</f>
        <v>512</v>
      </c>
      <c r="F50" s="3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47" t="s">
        <v>177</v>
      </c>
      <c r="B51" s="42">
        <v>4</v>
      </c>
      <c r="C51" s="42">
        <v>16</v>
      </c>
      <c r="D51" s="42">
        <v>2</v>
      </c>
      <c r="E51" s="42">
        <f t="shared" si="8"/>
        <v>128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47" t="s">
        <v>180</v>
      </c>
      <c r="B52" s="42">
        <v>4</v>
      </c>
      <c r="C52" s="42">
        <v>16</v>
      </c>
      <c r="D52" s="42">
        <v>2</v>
      </c>
      <c r="E52" s="51">
        <f t="shared" si="8"/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47" t="s">
        <v>186</v>
      </c>
      <c r="B53" s="47"/>
      <c r="C53" s="47"/>
      <c r="D53" s="47"/>
      <c r="E53" s="47">
        <f>SUM(E50:E52)</f>
        <v>768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51" t="s">
        <v>173</v>
      </c>
      <c r="B55" s="47"/>
      <c r="C55" s="47"/>
      <c r="D55" s="47"/>
      <c r="E55" s="4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43" t="s">
        <v>174</v>
      </c>
      <c r="B56" s="44">
        <v>4</v>
      </c>
      <c r="C56" s="48">
        <v>72</v>
      </c>
      <c r="D56" s="42">
        <v>2</v>
      </c>
      <c r="E56" s="42">
        <f t="shared" ref="E56:E57" si="9">B56*C56*D56</f>
        <v>576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47" t="s">
        <v>175</v>
      </c>
      <c r="B57" s="42">
        <v>4</v>
      </c>
      <c r="C57" s="42">
        <v>72</v>
      </c>
      <c r="D57" s="42">
        <v>2</v>
      </c>
      <c r="E57" s="42">
        <f t="shared" si="9"/>
        <v>576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47" t="s">
        <v>186</v>
      </c>
      <c r="B58" s="42"/>
      <c r="C58" s="42"/>
      <c r="D58" s="42"/>
      <c r="E58" s="51">
        <f>SUM(E56:E57)</f>
        <v>1152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0"/>
      <c r="L60" s="40"/>
      <c r="M60" s="40"/>
      <c r="N60" s="40"/>
      <c r="O60" s="40"/>
      <c r="P60" s="40"/>
      <c r="Q60" s="40"/>
      <c r="R60" s="40"/>
      <c r="S60" s="4"/>
      <c r="T60" s="4"/>
      <c r="U60" s="4"/>
    </row>
    <row r="61" spans="1:21" x14ac:dyDescent="0.2">
      <c r="A61" s="59" t="s">
        <v>217</v>
      </c>
      <c r="B61" s="60"/>
      <c r="C61" s="60"/>
      <c r="D61" s="60"/>
      <c r="E61" s="60"/>
      <c r="F61" s="60"/>
      <c r="G61" s="60"/>
      <c r="H61" s="60"/>
      <c r="I61" s="61"/>
      <c r="J61" s="62"/>
      <c r="K61" s="63" t="s">
        <v>218</v>
      </c>
      <c r="L61" s="63"/>
      <c r="M61" s="63"/>
      <c r="N61" s="63"/>
      <c r="O61" s="63"/>
      <c r="P61" s="63"/>
      <c r="Q61" s="63"/>
      <c r="R61" s="63"/>
      <c r="S61" s="39"/>
      <c r="T61" s="4"/>
      <c r="U61" s="4"/>
    </row>
    <row r="62" spans="1:21" x14ac:dyDescent="0.2">
      <c r="A62" t="s">
        <v>16</v>
      </c>
      <c r="B62" t="s">
        <v>17</v>
      </c>
      <c r="C62" t="s">
        <v>18</v>
      </c>
      <c r="G62" t="s">
        <v>213</v>
      </c>
      <c r="H62" t="s">
        <v>15</v>
      </c>
      <c r="I62" t="s">
        <v>14</v>
      </c>
      <c r="K62" t="s">
        <v>16</v>
      </c>
      <c r="L62" t="s">
        <v>17</v>
      </c>
      <c r="M62" t="s">
        <v>18</v>
      </c>
      <c r="P62" t="s">
        <v>223</v>
      </c>
      <c r="Q62" t="s">
        <v>15</v>
      </c>
      <c r="R62" t="s">
        <v>14</v>
      </c>
    </row>
    <row r="63" spans="1:21" x14ac:dyDescent="0.2">
      <c r="A63">
        <v>1</v>
      </c>
      <c r="B63">
        <v>1</v>
      </c>
      <c r="C63">
        <v>1</v>
      </c>
      <c r="G63">
        <v>4</v>
      </c>
      <c r="H63">
        <v>23</v>
      </c>
      <c r="I63">
        <v>1</v>
      </c>
      <c r="K63">
        <v>1</v>
      </c>
      <c r="L63">
        <v>1</v>
      </c>
      <c r="M63">
        <v>1</v>
      </c>
      <c r="P63">
        <v>0</v>
      </c>
      <c r="Q63">
        <v>29</v>
      </c>
      <c r="R63">
        <v>1</v>
      </c>
    </row>
    <row r="64" spans="1:21" x14ac:dyDescent="0.2">
      <c r="A64" t="s">
        <v>19</v>
      </c>
      <c r="B64" t="s">
        <v>20</v>
      </c>
      <c r="C64" t="s">
        <v>21</v>
      </c>
      <c r="D64" s="4"/>
      <c r="E64" s="4"/>
      <c r="F64" s="4"/>
      <c r="G64" t="s">
        <v>215</v>
      </c>
      <c r="H64" t="s">
        <v>15</v>
      </c>
      <c r="I64" t="s">
        <v>14</v>
      </c>
      <c r="J64" s="4"/>
      <c r="K64" t="s">
        <v>19</v>
      </c>
      <c r="L64" t="s">
        <v>20</v>
      </c>
      <c r="M64" t="s">
        <v>21</v>
      </c>
      <c r="N64" s="4"/>
      <c r="O64" s="4"/>
      <c r="P64" t="s">
        <v>213</v>
      </c>
      <c r="Q64" t="s">
        <v>15</v>
      </c>
      <c r="R64" t="s">
        <v>14</v>
      </c>
      <c r="S64" s="4"/>
      <c r="T64" s="4"/>
      <c r="U64" s="4"/>
    </row>
    <row r="65" spans="1:21" x14ac:dyDescent="0.2">
      <c r="A65">
        <v>1</v>
      </c>
      <c r="B65">
        <v>1</v>
      </c>
      <c r="C65">
        <v>1</v>
      </c>
      <c r="D65" s="4"/>
      <c r="E65" s="4"/>
      <c r="F65" s="4"/>
      <c r="G65">
        <v>1</v>
      </c>
      <c r="H65">
        <v>14</v>
      </c>
      <c r="I65">
        <v>1</v>
      </c>
      <c r="J65" s="4"/>
      <c r="K65">
        <v>1</v>
      </c>
      <c r="L65">
        <v>1</v>
      </c>
      <c r="M65">
        <v>1</v>
      </c>
      <c r="N65" s="4"/>
      <c r="O65" s="4"/>
      <c r="P65">
        <v>0</v>
      </c>
      <c r="Q65">
        <v>18</v>
      </c>
      <c r="R65">
        <v>1</v>
      </c>
      <c r="S65" s="4"/>
      <c r="T65" s="4"/>
      <c r="U65" s="4"/>
    </row>
    <row r="66" spans="1:21" x14ac:dyDescent="0.2">
      <c r="A66" t="s">
        <v>212</v>
      </c>
      <c r="B66" t="s">
        <v>26</v>
      </c>
      <c r="C66" t="s">
        <v>27</v>
      </c>
      <c r="D66" t="s">
        <v>28</v>
      </c>
      <c r="E66" s="4"/>
      <c r="F66" s="4"/>
      <c r="G66" s="4"/>
      <c r="H66" s="4"/>
      <c r="I66" s="4"/>
      <c r="J66" s="4"/>
      <c r="K66" t="s">
        <v>212</v>
      </c>
      <c r="L66" t="s">
        <v>26</v>
      </c>
      <c r="M66" t="s">
        <v>27</v>
      </c>
      <c r="N66" t="s">
        <v>28</v>
      </c>
      <c r="O66" s="4"/>
      <c r="P66" t="s">
        <v>215</v>
      </c>
      <c r="Q66" t="s">
        <v>15</v>
      </c>
      <c r="R66" t="s">
        <v>14</v>
      </c>
      <c r="S66" s="4"/>
      <c r="T66" s="4"/>
      <c r="U66" s="4"/>
    </row>
    <row r="67" spans="1:21" x14ac:dyDescent="0.2">
      <c r="A67">
        <v>2</v>
      </c>
      <c r="B67">
        <v>78</v>
      </c>
      <c r="C67">
        <v>-24</v>
      </c>
      <c r="D67">
        <v>64</v>
      </c>
      <c r="E67" s="4"/>
      <c r="F67" s="4"/>
      <c r="G67" s="4"/>
      <c r="H67" s="4"/>
      <c r="I67" s="4"/>
      <c r="J67" s="4"/>
      <c r="O67" s="4"/>
      <c r="P67">
        <v>0</v>
      </c>
      <c r="Q67">
        <v>11</v>
      </c>
      <c r="R67">
        <v>1</v>
      </c>
      <c r="S67" s="4"/>
      <c r="T67" s="4"/>
      <c r="U67" s="4"/>
    </row>
    <row r="68" spans="1:21" x14ac:dyDescent="0.2">
      <c r="A68" t="s">
        <v>212</v>
      </c>
      <c r="B68" t="s">
        <v>23</v>
      </c>
      <c r="C68" t="s">
        <v>24</v>
      </c>
      <c r="D68" t="s">
        <v>25</v>
      </c>
      <c r="E68" s="4"/>
      <c r="F68" s="4"/>
      <c r="G68" s="4"/>
      <c r="H68" s="4"/>
      <c r="I68" s="4"/>
      <c r="J68" s="4"/>
      <c r="K68" t="s">
        <v>212</v>
      </c>
      <c r="L68" t="s">
        <v>23</v>
      </c>
      <c r="M68" t="s">
        <v>24</v>
      </c>
      <c r="N68" t="s">
        <v>25</v>
      </c>
      <c r="O68" s="4"/>
      <c r="P68" s="59" t="s">
        <v>259</v>
      </c>
      <c r="Q68" s="57"/>
      <c r="R68" s="58"/>
      <c r="S68" s="4"/>
      <c r="T68" s="4"/>
      <c r="U68" s="4"/>
    </row>
    <row r="69" spans="1:21" x14ac:dyDescent="0.2">
      <c r="A69">
        <v>2</v>
      </c>
      <c r="B69">
        <v>23</v>
      </c>
      <c r="C69">
        <v>-8</v>
      </c>
      <c r="D69">
        <v>16</v>
      </c>
      <c r="E69" s="4"/>
      <c r="F69" s="4"/>
      <c r="G69" s="4"/>
      <c r="H69" s="4"/>
      <c r="I69" s="4"/>
      <c r="J69" s="4"/>
      <c r="K69">
        <v>2</v>
      </c>
      <c r="L69">
        <v>22</v>
      </c>
      <c r="M69">
        <v>0</v>
      </c>
      <c r="N69">
        <v>20</v>
      </c>
      <c r="O69" s="4"/>
      <c r="P69" t="s">
        <v>223</v>
      </c>
      <c r="Q69" t="s">
        <v>15</v>
      </c>
      <c r="R69" t="s">
        <v>14</v>
      </c>
      <c r="S69" s="4"/>
      <c r="T69" s="4"/>
      <c r="U69" s="4"/>
    </row>
    <row r="70" spans="1:21" x14ac:dyDescent="0.2">
      <c r="A70" t="s">
        <v>212</v>
      </c>
      <c r="B70" t="s">
        <v>11</v>
      </c>
      <c r="C70" t="s">
        <v>12</v>
      </c>
      <c r="D70" t="s">
        <v>13</v>
      </c>
      <c r="E70" s="4"/>
      <c r="F70" s="4"/>
      <c r="G70" s="4"/>
      <c r="H70" s="4"/>
      <c r="I70" s="4"/>
      <c r="J70" s="4"/>
      <c r="K70" t="s">
        <v>212</v>
      </c>
      <c r="L70" t="s">
        <v>11</v>
      </c>
      <c r="M70" t="s">
        <v>12</v>
      </c>
      <c r="N70" t="s">
        <v>13</v>
      </c>
      <c r="O70" s="4"/>
      <c r="S70" s="4"/>
      <c r="T70" s="4"/>
      <c r="U70" s="4"/>
    </row>
    <row r="71" spans="1:21" x14ac:dyDescent="0.2">
      <c r="A71">
        <v>2</v>
      </c>
      <c r="B71">
        <v>8</v>
      </c>
      <c r="C71">
        <v>4</v>
      </c>
      <c r="D71">
        <v>4</v>
      </c>
      <c r="E71" s="4"/>
      <c r="F71" s="4"/>
      <c r="G71" s="4"/>
      <c r="H71" s="4"/>
      <c r="I71" s="4"/>
      <c r="J71" s="4"/>
      <c r="K71">
        <v>2</v>
      </c>
      <c r="L71">
        <v>7</v>
      </c>
      <c r="M71">
        <v>6</v>
      </c>
      <c r="N71">
        <v>4</v>
      </c>
      <c r="O71" s="4"/>
      <c r="P71" t="s">
        <v>213</v>
      </c>
      <c r="Q71" t="s">
        <v>15</v>
      </c>
      <c r="R71" t="s">
        <v>14</v>
      </c>
      <c r="S71" s="4"/>
      <c r="T71" s="4"/>
      <c r="U71" s="4"/>
    </row>
    <row r="72" spans="1:21" x14ac:dyDescent="0.2">
      <c r="A72" t="s">
        <v>214</v>
      </c>
      <c r="B72" t="s">
        <v>26</v>
      </c>
      <c r="C72" t="s">
        <v>27</v>
      </c>
      <c r="D72" t="s">
        <v>28</v>
      </c>
      <c r="E72" s="4"/>
      <c r="F72" s="4"/>
      <c r="G72" s="4"/>
      <c r="H72" s="4"/>
      <c r="I72" s="4"/>
      <c r="J72" s="4"/>
      <c r="K72" t="s">
        <v>212</v>
      </c>
      <c r="L72" t="s">
        <v>133</v>
      </c>
      <c r="M72" t="s">
        <v>134</v>
      </c>
      <c r="N72" t="s">
        <v>135</v>
      </c>
      <c r="O72" s="4"/>
      <c r="S72" s="4"/>
      <c r="T72" s="4"/>
      <c r="U72" s="4"/>
    </row>
    <row r="73" spans="1:21" x14ac:dyDescent="0.2">
      <c r="A73">
        <v>2</v>
      </c>
      <c r="B73">
        <v>88</v>
      </c>
      <c r="C73">
        <v>-80</v>
      </c>
      <c r="D73">
        <v>88</v>
      </c>
      <c r="E73" s="4"/>
      <c r="F73" s="4"/>
      <c r="G73" s="4"/>
      <c r="H73" s="4"/>
      <c r="I73" s="4"/>
      <c r="J73" s="4"/>
      <c r="O73" s="4"/>
      <c r="P73" t="s">
        <v>215</v>
      </c>
      <c r="Q73" t="s">
        <v>15</v>
      </c>
      <c r="R73" t="s">
        <v>14</v>
      </c>
      <c r="S73" s="4"/>
      <c r="T73" s="4"/>
      <c r="U73" s="4"/>
    </row>
    <row r="74" spans="1:21" x14ac:dyDescent="0.2">
      <c r="A74" t="s">
        <v>214</v>
      </c>
      <c r="B74" t="s">
        <v>23</v>
      </c>
      <c r="C74" t="s">
        <v>24</v>
      </c>
      <c r="D74" t="s">
        <v>25</v>
      </c>
      <c r="E74" s="4"/>
      <c r="F74" s="4"/>
      <c r="G74" s="4"/>
      <c r="H74" s="4"/>
      <c r="I74" s="4"/>
      <c r="J74" s="4"/>
      <c r="K74" t="s">
        <v>214</v>
      </c>
      <c r="L74" t="s">
        <v>23</v>
      </c>
      <c r="M74" t="s">
        <v>24</v>
      </c>
      <c r="N74" t="s">
        <v>25</v>
      </c>
      <c r="O74" s="4"/>
      <c r="P74">
        <v>0</v>
      </c>
      <c r="Q74">
        <v>12</v>
      </c>
      <c r="R74">
        <v>1</v>
      </c>
      <c r="S74" s="4"/>
      <c r="T74" s="4"/>
      <c r="U74" s="4"/>
    </row>
    <row r="75" spans="1:21" x14ac:dyDescent="0.2">
      <c r="A75">
        <v>2</v>
      </c>
      <c r="B75">
        <v>44</v>
      </c>
      <c r="C75">
        <v>-36</v>
      </c>
      <c r="D75">
        <v>44</v>
      </c>
      <c r="E75" s="4"/>
      <c r="F75" s="4"/>
      <c r="G75" s="4"/>
      <c r="H75" s="4"/>
      <c r="I75" s="4"/>
      <c r="J75" s="4"/>
      <c r="O75" s="4"/>
      <c r="P75" s="4"/>
      <c r="Q75" s="4"/>
      <c r="R75" s="4"/>
      <c r="S75" s="4"/>
      <c r="T75" s="4"/>
      <c r="U75" s="4"/>
    </row>
    <row r="76" spans="1:21" x14ac:dyDescent="0.2">
      <c r="A76" t="s">
        <v>214</v>
      </c>
      <c r="B76" t="s">
        <v>11</v>
      </c>
      <c r="C76" t="s">
        <v>12</v>
      </c>
      <c r="D76" t="s">
        <v>13</v>
      </c>
      <c r="E76" s="4"/>
      <c r="F76" s="4"/>
      <c r="G76" s="4"/>
      <c r="H76" s="4"/>
      <c r="I76" s="4"/>
      <c r="J76" s="4"/>
      <c r="K76" t="s">
        <v>214</v>
      </c>
      <c r="L76" t="s">
        <v>11</v>
      </c>
      <c r="M76" t="s">
        <v>12</v>
      </c>
      <c r="N76" t="s">
        <v>13</v>
      </c>
      <c r="O76" s="4"/>
      <c r="P76" s="4"/>
      <c r="Q76" s="4"/>
      <c r="R76" s="4"/>
      <c r="S76" s="4"/>
      <c r="T76" s="4"/>
      <c r="U76" s="4"/>
    </row>
    <row r="77" spans="1:21" x14ac:dyDescent="0.2">
      <c r="A77">
        <v>2</v>
      </c>
      <c r="B77">
        <v>22</v>
      </c>
      <c r="C77">
        <v>0</v>
      </c>
      <c r="D77">
        <v>8</v>
      </c>
      <c r="E77" s="4"/>
      <c r="F77" s="4"/>
      <c r="G77" s="4"/>
      <c r="H77" s="4"/>
      <c r="I77" s="4"/>
      <c r="J77" s="4"/>
      <c r="K77">
        <v>2</v>
      </c>
      <c r="L77">
        <v>16</v>
      </c>
      <c r="M77">
        <v>6</v>
      </c>
      <c r="N77">
        <v>8</v>
      </c>
      <c r="O77" s="4"/>
      <c r="P77" s="4"/>
      <c r="Q77" s="4"/>
      <c r="R77" s="4"/>
      <c r="S77" s="4"/>
      <c r="T77" s="4"/>
      <c r="U77" s="4"/>
    </row>
    <row r="78" spans="1:21" x14ac:dyDescent="0.2">
      <c r="A78" t="s">
        <v>214</v>
      </c>
      <c r="B78" t="s">
        <v>133</v>
      </c>
      <c r="C78" t="s">
        <v>134</v>
      </c>
      <c r="D78" t="s">
        <v>135</v>
      </c>
      <c r="E78" s="4"/>
      <c r="F78" s="4"/>
      <c r="G78" s="4"/>
      <c r="H78" s="4"/>
      <c r="I78" s="4"/>
      <c r="J78" s="4"/>
      <c r="K78" t="s">
        <v>214</v>
      </c>
      <c r="L78" t="s">
        <v>133</v>
      </c>
      <c r="M78" t="s">
        <v>134</v>
      </c>
      <c r="N78" t="s">
        <v>135</v>
      </c>
      <c r="O78" s="4"/>
      <c r="P78" s="4"/>
      <c r="Q78" s="4"/>
      <c r="R78" s="4"/>
      <c r="S78" s="4"/>
      <c r="T78" s="4"/>
      <c r="U78" s="4"/>
    </row>
    <row r="79" spans="1:21" x14ac:dyDescent="0.2">
      <c r="A79">
        <v>2</v>
      </c>
      <c r="B79">
        <v>8</v>
      </c>
      <c r="C79">
        <v>2</v>
      </c>
      <c r="D79">
        <v>2</v>
      </c>
      <c r="E79" s="4"/>
      <c r="F79" s="4"/>
      <c r="G79" s="4"/>
      <c r="H79" s="4"/>
      <c r="I79" s="4"/>
      <c r="J79" s="4"/>
      <c r="K79">
        <v>2</v>
      </c>
      <c r="L79">
        <v>6</v>
      </c>
      <c r="M79">
        <v>8</v>
      </c>
      <c r="N79">
        <v>2</v>
      </c>
      <c r="O79" s="4"/>
      <c r="P79" s="4"/>
      <c r="Q79" s="4"/>
      <c r="R79" s="4"/>
      <c r="S79" s="4"/>
      <c r="T79" s="4"/>
      <c r="U79" s="4"/>
    </row>
    <row r="80" spans="1:2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"/>
      <c r="O81" s="4"/>
      <c r="P81" s="4"/>
      <c r="Q81" s="4"/>
      <c r="R81" s="4"/>
      <c r="S81" s="4"/>
      <c r="T81" s="4"/>
      <c r="U81" s="4"/>
    </row>
    <row r="82" spans="1:21" x14ac:dyDescent="0.2">
      <c r="A82" s="71" t="s">
        <v>306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39"/>
      <c r="O82" s="4"/>
      <c r="P82" s="4"/>
      <c r="Q82" s="4"/>
      <c r="R82" s="4"/>
      <c r="S82" s="4"/>
      <c r="T82" s="4"/>
      <c r="U82" s="4"/>
    </row>
    <row r="83" spans="1:2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39"/>
      <c r="O83" s="4"/>
      <c r="P83" s="4"/>
      <c r="Q83" s="4"/>
      <c r="R83" s="4"/>
      <c r="S83" s="4"/>
      <c r="T83" s="4"/>
      <c r="U83" s="4"/>
    </row>
    <row r="84" spans="1:21" x14ac:dyDescent="0.2">
      <c r="A84" s="69" t="s">
        <v>270</v>
      </c>
      <c r="B84" t="s">
        <v>272</v>
      </c>
      <c r="C84" s="69" t="s">
        <v>273</v>
      </c>
      <c r="D84" s="69" t="s">
        <v>278</v>
      </c>
      <c r="E84" s="41"/>
      <c r="F84" s="41"/>
      <c r="G84" s="41"/>
      <c r="H84" s="41"/>
      <c r="I84" s="41"/>
      <c r="J84" s="41"/>
      <c r="K84" s="41"/>
      <c r="L84" s="41"/>
      <c r="M84" s="41"/>
      <c r="N84" s="4"/>
      <c r="O84" s="4"/>
      <c r="P84" s="4"/>
      <c r="Q84" s="4"/>
      <c r="R84" s="4"/>
      <c r="S84" s="4"/>
      <c r="T84" s="4"/>
      <c r="U84" s="4"/>
    </row>
    <row r="85" spans="1:21" x14ac:dyDescent="0.2">
      <c r="A85" s="67" t="s">
        <v>275</v>
      </c>
      <c r="B85" s="66">
        <v>23</v>
      </c>
      <c r="C85" s="66">
        <v>48</v>
      </c>
      <c r="D85" s="66">
        <v>16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">
      <c r="A86" s="67" t="s">
        <v>276</v>
      </c>
      <c r="B86" s="67" t="s">
        <v>274</v>
      </c>
      <c r="C86" s="67" t="s">
        <v>277</v>
      </c>
      <c r="D86" s="66">
        <v>16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">
      <c r="A87" s="50" t="s">
        <v>279</v>
      </c>
      <c r="B87" s="5">
        <v>23</v>
      </c>
      <c r="C87" s="5">
        <v>48</v>
      </c>
      <c r="D87" s="5">
        <v>16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">
      <c r="A88" s="67" t="s">
        <v>280</v>
      </c>
      <c r="B88" s="66">
        <v>11</v>
      </c>
      <c r="C88" s="66">
        <v>24</v>
      </c>
      <c r="D88" s="66">
        <v>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">
      <c r="A89" s="67" t="s">
        <v>281</v>
      </c>
      <c r="B89" s="67" t="s">
        <v>284</v>
      </c>
      <c r="C89" s="67" t="s">
        <v>283</v>
      </c>
      <c r="D89" s="66">
        <v>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">
      <c r="A90" s="50" t="s">
        <v>282</v>
      </c>
      <c r="B90" s="66">
        <v>11</v>
      </c>
      <c r="C90" s="66">
        <v>24</v>
      </c>
      <c r="D90" s="66">
        <v>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">
      <c r="A91" s="38" t="s">
        <v>285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">
      <c r="A93" s="38" t="s">
        <v>288</v>
      </c>
      <c r="B93" s="38" t="s">
        <v>290</v>
      </c>
      <c r="C93" s="38" t="s">
        <v>295</v>
      </c>
      <c r="D93" s="38" t="s">
        <v>291</v>
      </c>
      <c r="E93" s="38" t="s">
        <v>292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">
      <c r="A94" s="38" t="s">
        <v>289</v>
      </c>
      <c r="B94" s="38">
        <f>112*112</f>
        <v>12544</v>
      </c>
      <c r="C94" s="72">
        <v>16</v>
      </c>
      <c r="D94" s="72">
        <v>4</v>
      </c>
      <c r="E94" s="72">
        <f>B94/C94/D94</f>
        <v>196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38" t="s">
        <v>293</v>
      </c>
      <c r="B95" s="4">
        <f>56*56*2</f>
        <v>6272</v>
      </c>
      <c r="C95" s="72">
        <v>8</v>
      </c>
      <c r="D95" s="72">
        <v>4</v>
      </c>
      <c r="E95" s="72">
        <f>B95/C95/D95</f>
        <v>196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"/>
      <c r="O97" s="4"/>
      <c r="P97" s="4"/>
      <c r="Q97" s="4"/>
      <c r="R97" s="4"/>
      <c r="S97" s="4"/>
      <c r="T97" s="4"/>
      <c r="U97" s="4"/>
    </row>
    <row r="98" spans="1:21" x14ac:dyDescent="0.2">
      <c r="A98" s="71" t="s">
        <v>303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39"/>
      <c r="O98" s="4"/>
      <c r="P98" s="4"/>
      <c r="Q98" s="4"/>
      <c r="R98" s="4"/>
      <c r="S98" s="4"/>
      <c r="T98" s="4"/>
      <c r="U98" s="4"/>
    </row>
    <row r="99" spans="1:2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39"/>
      <c r="O99" s="4"/>
      <c r="P99" s="4"/>
      <c r="Q99" s="4"/>
      <c r="R99" s="4"/>
      <c r="S99" s="4"/>
      <c r="T99" s="4"/>
      <c r="U99" s="4"/>
    </row>
    <row r="100" spans="1:21" x14ac:dyDescent="0.2">
      <c r="A100" s="69" t="s">
        <v>294</v>
      </c>
      <c r="B100" s="69" t="s">
        <v>296</v>
      </c>
      <c r="C100" s="69" t="s">
        <v>297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38" t="s">
        <v>271</v>
      </c>
      <c r="B101" s="73">
        <v>16</v>
      </c>
      <c r="C101" s="73">
        <v>16</v>
      </c>
      <c r="D101" s="38" t="s">
        <v>299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38" t="s">
        <v>298</v>
      </c>
      <c r="B102" s="73">
        <v>16</v>
      </c>
      <c r="C102" s="73">
        <v>64</v>
      </c>
      <c r="D102" s="38" t="s">
        <v>304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">
      <c r="A103" s="38" t="s">
        <v>300</v>
      </c>
      <c r="B103" s="74" t="s">
        <v>301</v>
      </c>
      <c r="C103" s="74" t="s">
        <v>301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">
      <c r="A104" s="38" t="s">
        <v>302</v>
      </c>
      <c r="B104" s="73">
        <v>16</v>
      </c>
      <c r="C104" s="73">
        <v>32</v>
      </c>
      <c r="D104" s="38" t="s">
        <v>304</v>
      </c>
      <c r="E104" s="38" t="s">
        <v>305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"/>
      <c r="O106" s="4"/>
      <c r="P106" s="4"/>
      <c r="Q106" s="4"/>
      <c r="R106" s="4"/>
      <c r="S106" s="4"/>
      <c r="T106" s="4"/>
      <c r="U106" s="4"/>
    </row>
    <row r="107" spans="1:21" x14ac:dyDescent="0.2">
      <c r="A107" s="71" t="s">
        <v>307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39"/>
      <c r="O107" s="4"/>
      <c r="P107" s="4"/>
      <c r="Q107" s="4"/>
      <c r="R107" s="4"/>
      <c r="S107" s="4"/>
      <c r="T107" s="4"/>
      <c r="U107" s="4"/>
    </row>
    <row r="108" spans="1:21" x14ac:dyDescent="0.2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39"/>
      <c r="O108" s="4"/>
      <c r="P108" s="4"/>
      <c r="Q108" s="4"/>
      <c r="R108" s="4"/>
      <c r="S108" s="4"/>
      <c r="T108" s="4"/>
      <c r="U108" s="4"/>
    </row>
    <row r="109" spans="1:21" x14ac:dyDescent="0.2">
      <c r="A109" s="63" t="s">
        <v>308</v>
      </c>
      <c r="B109" s="75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"/>
      <c r="O109" s="4"/>
      <c r="P109" s="4"/>
      <c r="Q109" s="4"/>
      <c r="R109" s="4"/>
      <c r="S109" s="4"/>
      <c r="T109" s="4"/>
      <c r="U109" s="4"/>
    </row>
    <row r="110" spans="1:21" x14ac:dyDescent="0.2">
      <c r="A110" s="70"/>
      <c r="B110" s="3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">
      <c r="A111" s="4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">
      <c r="A207" s="4"/>
      <c r="B207" s="4"/>
      <c r="C207" s="4"/>
      <c r="D207" s="4"/>
      <c r="E207" s="4"/>
    </row>
  </sheetData>
  <mergeCells count="30">
    <mergeCell ref="A98:M99"/>
    <mergeCell ref="A107:M108"/>
    <mergeCell ref="A109:A110"/>
    <mergeCell ref="K61:R61"/>
    <mergeCell ref="A61:I61"/>
    <mergeCell ref="P68:R68"/>
    <mergeCell ref="A82:M83"/>
    <mergeCell ref="A23:K23"/>
    <mergeCell ref="M26:M27"/>
    <mergeCell ref="O25:O26"/>
    <mergeCell ref="U25:U26"/>
    <mergeCell ref="O27:O29"/>
    <mergeCell ref="U27:U29"/>
    <mergeCell ref="G17:G19"/>
    <mergeCell ref="M17:M19"/>
    <mergeCell ref="O17:O19"/>
    <mergeCell ref="U17:U19"/>
    <mergeCell ref="G20:G21"/>
    <mergeCell ref="M20:M21"/>
    <mergeCell ref="O20:O21"/>
    <mergeCell ref="U20:U21"/>
    <mergeCell ref="A8:K8"/>
    <mergeCell ref="G10:G12"/>
    <mergeCell ref="M10:M12"/>
    <mergeCell ref="O10:O11"/>
    <mergeCell ref="U10:U11"/>
    <mergeCell ref="O12:O14"/>
    <mergeCell ref="U12:U14"/>
    <mergeCell ref="G13:G14"/>
    <mergeCell ref="M13:M1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F07-9C06-44AB-97DD-D040F2BA4086}">
  <dimension ref="A1:P32"/>
  <sheetViews>
    <sheetView zoomScaleNormal="100" workbookViewId="0">
      <selection activeCell="B30" sqref="B3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222</v>
      </c>
      <c r="I1" t="str">
        <f>v0!K61</f>
        <v>H264</v>
      </c>
      <c r="J1">
        <f>v0!L61</f>
        <v>0</v>
      </c>
      <c r="K1">
        <f>v0!M61</f>
        <v>0</v>
      </c>
      <c r="L1">
        <f>v0!N61</f>
        <v>0</v>
      </c>
      <c r="M1">
        <f>v0!O61</f>
        <v>0</v>
      </c>
      <c r="N1">
        <f>v0!P61</f>
        <v>0</v>
      </c>
      <c r="O1">
        <f>v0!Q61</f>
        <v>0</v>
      </c>
      <c r="P1">
        <f>v0!R61</f>
        <v>0</v>
      </c>
    </row>
    <row r="2" spans="1:16" x14ac:dyDescent="0.2">
      <c r="A2" t="s">
        <v>1</v>
      </c>
      <c r="B2" t="s">
        <v>2</v>
      </c>
      <c r="I2" t="str">
        <f>v0!K62</f>
        <v>inter pk in</v>
      </c>
      <c r="J2" t="str">
        <f>v0!L62</f>
        <v>inter pk work</v>
      </c>
      <c r="K2" t="str">
        <f>v0!M62</f>
        <v>inter pk out</v>
      </c>
      <c r="L2">
        <f>v0!N62</f>
        <v>0</v>
      </c>
      <c r="M2">
        <f>v0!O62</f>
        <v>0</v>
      </c>
      <c r="N2" t="str">
        <f>v0!P62</f>
        <v>tqitq16x16 input</v>
      </c>
      <c r="O2" t="str">
        <f>v0!Q62</f>
        <v>tqitq work</v>
      </c>
      <c r="P2" t="str">
        <f>v0!R62</f>
        <v>tqitq out</v>
      </c>
    </row>
    <row r="3" spans="1:16" x14ac:dyDescent="0.2">
      <c r="A3" t="s">
        <v>3</v>
      </c>
      <c r="B3" t="s">
        <v>4</v>
      </c>
      <c r="I3">
        <f>v0!K63</f>
        <v>1</v>
      </c>
      <c r="J3">
        <f>v0!L63</f>
        <v>1</v>
      </c>
      <c r="K3">
        <f>v0!M63</f>
        <v>1</v>
      </c>
      <c r="L3">
        <f>v0!N63</f>
        <v>0</v>
      </c>
      <c r="M3">
        <f>v0!O63</f>
        <v>0</v>
      </c>
      <c r="N3">
        <f>v0!P63</f>
        <v>0</v>
      </c>
      <c r="O3">
        <f>v0!Q63</f>
        <v>29</v>
      </c>
      <c r="P3">
        <f>v0!R63</f>
        <v>1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v0!K64</f>
        <v>sel pk in</v>
      </c>
      <c r="J4" t="str">
        <f>v0!L64</f>
        <v>sel pk work</v>
      </c>
      <c r="K4" t="str">
        <f>v0!M64</f>
        <v>sel pk out</v>
      </c>
      <c r="L4">
        <f>v0!N64</f>
        <v>0</v>
      </c>
      <c r="M4">
        <f>v0!O64</f>
        <v>0</v>
      </c>
      <c r="N4" t="str">
        <f>v0!P64</f>
        <v>tqitq8x8 input</v>
      </c>
      <c r="O4" t="str">
        <f>v0!Q64</f>
        <v>tqitq work</v>
      </c>
      <c r="P4" t="str">
        <f>v0!R64</f>
        <v>tqitq out</v>
      </c>
    </row>
    <row r="5" spans="1:16" x14ac:dyDescent="0.2">
      <c r="A5" t="s">
        <v>227</v>
      </c>
      <c r="B5">
        <v>0</v>
      </c>
      <c r="C5">
        <f>B5+I$11</f>
        <v>2</v>
      </c>
      <c r="D5">
        <f t="shared" ref="D5:F6" si="0">C5+J$11</f>
        <v>9</v>
      </c>
      <c r="E5">
        <f t="shared" si="0"/>
        <v>15</v>
      </c>
      <c r="F5">
        <f t="shared" si="0"/>
        <v>19</v>
      </c>
      <c r="I5">
        <f>v0!K65</f>
        <v>1</v>
      </c>
      <c r="J5">
        <f>v0!L65</f>
        <v>1</v>
      </c>
      <c r="K5">
        <f>v0!M65</f>
        <v>1</v>
      </c>
      <c r="L5">
        <f>v0!N65</f>
        <v>0</v>
      </c>
      <c r="M5">
        <f>v0!O65</f>
        <v>0</v>
      </c>
      <c r="N5">
        <f>v0!P65</f>
        <v>0</v>
      </c>
      <c r="O5">
        <f>v0!Q65</f>
        <v>18</v>
      </c>
      <c r="P5">
        <f>v0!R65</f>
        <v>1</v>
      </c>
    </row>
    <row r="6" spans="1:16" x14ac:dyDescent="0.2">
      <c r="A6" t="s">
        <v>157</v>
      </c>
      <c r="B6">
        <f>D5-2</f>
        <v>7</v>
      </c>
      <c r="C6">
        <f>B6+I$11</f>
        <v>9</v>
      </c>
      <c r="D6">
        <f t="shared" si="0"/>
        <v>16</v>
      </c>
      <c r="E6">
        <f t="shared" si="0"/>
        <v>22</v>
      </c>
      <c r="F6">
        <f t="shared" si="0"/>
        <v>26</v>
      </c>
      <c r="I6" t="str">
        <f>v0!K66</f>
        <v>Yread latancy</v>
      </c>
      <c r="J6" t="str">
        <f>v0!L66</f>
        <v>32x32 input cc</v>
      </c>
      <c r="K6" t="str">
        <f>v0!M66</f>
        <v>32x32 work cc</v>
      </c>
      <c r="L6" t="str">
        <f>v0!N66</f>
        <v>32x32 output cc</v>
      </c>
      <c r="M6">
        <f>v0!O66</f>
        <v>0</v>
      </c>
      <c r="N6" t="str">
        <f>v0!P66</f>
        <v>tqitq4x4 input</v>
      </c>
      <c r="O6" t="str">
        <f>v0!Q66</f>
        <v>tqitq work</v>
      </c>
      <c r="P6" t="str">
        <f>v0!R66</f>
        <v>tqitq out</v>
      </c>
    </row>
    <row r="7" spans="1:16" x14ac:dyDescent="0.2">
      <c r="A7" t="s">
        <v>224</v>
      </c>
      <c r="C7">
        <f>F6</f>
        <v>26</v>
      </c>
      <c r="D7">
        <f>C7+N$5</f>
        <v>26</v>
      </c>
      <c r="E7">
        <f>D7+O$5</f>
        <v>44</v>
      </c>
      <c r="F7">
        <f t="shared" ref="F7" si="1">E7+P$5</f>
        <v>45</v>
      </c>
      <c r="I7">
        <f>v0!K67</f>
        <v>0</v>
      </c>
      <c r="J7">
        <f>v0!L67</f>
        <v>0</v>
      </c>
      <c r="K7">
        <f>v0!M67</f>
        <v>0</v>
      </c>
      <c r="L7">
        <f>v0!N67</f>
        <v>0</v>
      </c>
      <c r="M7">
        <f>v0!O67</f>
        <v>0</v>
      </c>
      <c r="O7">
        <f>v0!Q67</f>
        <v>11</v>
      </c>
      <c r="P7">
        <f>v0!R67</f>
        <v>1</v>
      </c>
    </row>
    <row r="8" spans="1:16" x14ac:dyDescent="0.2">
      <c r="A8" t="s">
        <v>225</v>
      </c>
      <c r="C8">
        <f>F7</f>
        <v>45</v>
      </c>
      <c r="D8">
        <f>C8+I$3</f>
        <v>46</v>
      </c>
      <c r="E8">
        <f t="shared" ref="E8:F8" si="2">D8+J$3</f>
        <v>47</v>
      </c>
      <c r="F8">
        <f t="shared" si="2"/>
        <v>48</v>
      </c>
      <c r="I8" t="str">
        <f>v0!K68</f>
        <v>Yread latancy</v>
      </c>
      <c r="J8" t="str">
        <f>v0!L68</f>
        <v>16x16 input cc</v>
      </c>
      <c r="K8" t="str">
        <f>v0!M68</f>
        <v>16x16 work cc</v>
      </c>
      <c r="L8" t="str">
        <f>v0!N68</f>
        <v>16x16 output cc</v>
      </c>
      <c r="M8">
        <f>v0!O68</f>
        <v>0</v>
      </c>
      <c r="N8" t="str">
        <f>v0!P68</f>
        <v>chroma</v>
      </c>
      <c r="O8">
        <f>v0!Q68</f>
        <v>0</v>
      </c>
      <c r="P8">
        <f>v0!R68</f>
        <v>0</v>
      </c>
    </row>
    <row r="9" spans="1:16" x14ac:dyDescent="0.2">
      <c r="A9" t="s">
        <v>34</v>
      </c>
      <c r="C9">
        <f>F8</f>
        <v>48</v>
      </c>
      <c r="D9">
        <f>C9+I$5</f>
        <v>49</v>
      </c>
      <c r="E9">
        <f t="shared" ref="E9:F9" si="3">D9+J$5</f>
        <v>50</v>
      </c>
      <c r="F9">
        <f t="shared" si="3"/>
        <v>51</v>
      </c>
      <c r="I9">
        <f>v0!K69</f>
        <v>2</v>
      </c>
      <c r="J9">
        <f>v0!L69</f>
        <v>22</v>
      </c>
      <c r="K9">
        <f>v0!M69</f>
        <v>0</v>
      </c>
      <c r="L9">
        <v>24</v>
      </c>
      <c r="M9">
        <f>v0!O69</f>
        <v>0</v>
      </c>
      <c r="N9" t="str">
        <f>v0!P69</f>
        <v>tqitq16x16 input</v>
      </c>
      <c r="O9" t="str">
        <f>v0!Q69</f>
        <v>tqitq work</v>
      </c>
      <c r="P9" t="str">
        <f>v0!R69</f>
        <v>tqitq out</v>
      </c>
    </row>
    <row r="10" spans="1:16" x14ac:dyDescent="0.2">
      <c r="A10" t="s">
        <v>228</v>
      </c>
      <c r="B10">
        <f>F9</f>
        <v>51</v>
      </c>
      <c r="C10">
        <f>B10+I$11</f>
        <v>53</v>
      </c>
      <c r="D10">
        <f t="shared" ref="D10:F10" si="4">C10+J$11</f>
        <v>60</v>
      </c>
      <c r="E10">
        <f t="shared" si="4"/>
        <v>66</v>
      </c>
      <c r="F10">
        <f t="shared" si="4"/>
        <v>70</v>
      </c>
      <c r="I10" t="str">
        <f>v0!K70</f>
        <v>Yread latancy</v>
      </c>
      <c r="J10" t="str">
        <f>v0!L70</f>
        <v>8x8 input cc</v>
      </c>
      <c r="K10" t="str">
        <f>v0!M70</f>
        <v>8x8 work cc</v>
      </c>
      <c r="L10" t="str">
        <f>v0!N70</f>
        <v>8x8 output cc</v>
      </c>
      <c r="M10">
        <f>v0!O70</f>
        <v>0</v>
      </c>
      <c r="N10">
        <f>v0!P70</f>
        <v>0</v>
      </c>
      <c r="O10">
        <f>v0!Q70</f>
        <v>0</v>
      </c>
      <c r="P10">
        <f>v0!R70</f>
        <v>0</v>
      </c>
    </row>
    <row r="11" spans="1:16" x14ac:dyDescent="0.2">
      <c r="A11" t="s">
        <v>226</v>
      </c>
      <c r="C11">
        <f>F10</f>
        <v>70</v>
      </c>
      <c r="D11">
        <f>C11+N$5</f>
        <v>70</v>
      </c>
      <c r="E11">
        <f>D11+O$5</f>
        <v>88</v>
      </c>
      <c r="F11">
        <f t="shared" ref="F11" si="5">E11+P$5</f>
        <v>89</v>
      </c>
      <c r="I11">
        <f>v0!K71</f>
        <v>2</v>
      </c>
      <c r="J11">
        <f>v0!L71</f>
        <v>7</v>
      </c>
      <c r="K11">
        <f>v0!M71</f>
        <v>6</v>
      </c>
      <c r="L11">
        <f>v0!N71</f>
        <v>4</v>
      </c>
      <c r="M11">
        <f>v0!O71</f>
        <v>0</v>
      </c>
      <c r="N11" t="str">
        <f>v0!P71</f>
        <v>tqitq8x8 input</v>
      </c>
      <c r="O11" t="str">
        <f>v0!Q71</f>
        <v>tqitq work</v>
      </c>
      <c r="P11" t="str">
        <f>v0!R71</f>
        <v>tqitq out</v>
      </c>
    </row>
    <row r="12" spans="1:16" x14ac:dyDescent="0.2">
      <c r="A12" t="s">
        <v>225</v>
      </c>
      <c r="C12">
        <f>F11</f>
        <v>89</v>
      </c>
      <c r="D12">
        <f>C12+I$3</f>
        <v>90</v>
      </c>
      <c r="E12">
        <f>D12+J$3</f>
        <v>91</v>
      </c>
      <c r="F12">
        <f>E12+K$3</f>
        <v>92</v>
      </c>
      <c r="I12" t="str">
        <f>v0!K72</f>
        <v>Yread latancy</v>
      </c>
      <c r="J12" t="str">
        <f>v0!L72</f>
        <v>4x4 input cc</v>
      </c>
      <c r="K12" t="str">
        <f>v0!M72</f>
        <v>4x4 work cc</v>
      </c>
      <c r="L12" t="str">
        <f>v0!N72</f>
        <v>4x4 output cc</v>
      </c>
      <c r="M12">
        <f>v0!O72</f>
        <v>0</v>
      </c>
      <c r="N12">
        <f>v0!P72</f>
        <v>0</v>
      </c>
      <c r="O12">
        <f>v0!Q72</f>
        <v>0</v>
      </c>
      <c r="P12">
        <f>v0!R72</f>
        <v>0</v>
      </c>
    </row>
    <row r="13" spans="1:16" x14ac:dyDescent="0.2">
      <c r="A13" t="s">
        <v>34</v>
      </c>
      <c r="C13">
        <f>F12</f>
        <v>92</v>
      </c>
      <c r="D13">
        <f>C13+I$5</f>
        <v>93</v>
      </c>
      <c r="E13">
        <f>D13+J$5</f>
        <v>94</v>
      </c>
      <c r="F13">
        <f>E13+K$5</f>
        <v>95</v>
      </c>
      <c r="I13">
        <f>v0!K73</f>
        <v>0</v>
      </c>
      <c r="J13">
        <f>v0!L73</f>
        <v>0</v>
      </c>
      <c r="K13">
        <f>v0!M73</f>
        <v>0</v>
      </c>
      <c r="L13">
        <f>v0!N73</f>
        <v>0</v>
      </c>
      <c r="M13">
        <f>v0!O73</f>
        <v>0</v>
      </c>
      <c r="N13" t="str">
        <f>v0!P73</f>
        <v>tqitq4x4 input</v>
      </c>
      <c r="O13" t="str">
        <f>v0!Q73</f>
        <v>tqitq work</v>
      </c>
      <c r="P13" t="str">
        <f>v0!R73</f>
        <v>tqitq out</v>
      </c>
    </row>
    <row r="14" spans="1:16" x14ac:dyDescent="0.2">
      <c r="A14" t="s">
        <v>229</v>
      </c>
      <c r="B14">
        <f>F13</f>
        <v>95</v>
      </c>
      <c r="C14">
        <f>B14+I$11</f>
        <v>97</v>
      </c>
      <c r="D14">
        <f>C14+J$11</f>
        <v>104</v>
      </c>
      <c r="E14">
        <f>D14+K$11</f>
        <v>110</v>
      </c>
      <c r="F14">
        <f>E14+L$11</f>
        <v>114</v>
      </c>
      <c r="I14" t="str">
        <f>v0!K74</f>
        <v>UVread latancy</v>
      </c>
      <c r="J14" t="str">
        <f>v0!L74</f>
        <v>16x16 input cc</v>
      </c>
      <c r="K14" t="str">
        <f>v0!M74</f>
        <v>16x16 work cc</v>
      </c>
      <c r="L14" t="str">
        <f>v0!N74</f>
        <v>16x16 output cc</v>
      </c>
      <c r="M14">
        <f>v0!O74</f>
        <v>0</v>
      </c>
      <c r="N14">
        <f>v0!P74</f>
        <v>0</v>
      </c>
      <c r="O14">
        <f>v0!Q74</f>
        <v>12</v>
      </c>
      <c r="P14">
        <f>v0!R74</f>
        <v>1</v>
      </c>
    </row>
    <row r="15" spans="1:16" x14ac:dyDescent="0.2">
      <c r="A15" t="s">
        <v>226</v>
      </c>
      <c r="C15">
        <f>F14</f>
        <v>114</v>
      </c>
      <c r="D15">
        <f>C15+N$5</f>
        <v>114</v>
      </c>
      <c r="E15">
        <f>D15+O$5</f>
        <v>132</v>
      </c>
      <c r="F15">
        <f t="shared" ref="F15" si="6">E15+P$5</f>
        <v>133</v>
      </c>
      <c r="I15">
        <f>v0!K75</f>
        <v>0</v>
      </c>
      <c r="J15">
        <f>v0!L75</f>
        <v>0</v>
      </c>
      <c r="K15">
        <f>v0!M75</f>
        <v>0</v>
      </c>
      <c r="L15">
        <f>v0!N75</f>
        <v>0</v>
      </c>
      <c r="M15">
        <f>v0!O75</f>
        <v>0</v>
      </c>
      <c r="N15">
        <f>v0!P75</f>
        <v>0</v>
      </c>
      <c r="O15">
        <f>v0!Q75</f>
        <v>0</v>
      </c>
      <c r="P15">
        <f>v0!R75</f>
        <v>0</v>
      </c>
    </row>
    <row r="16" spans="1:16" x14ac:dyDescent="0.2">
      <c r="A16" t="s">
        <v>225</v>
      </c>
      <c r="C16">
        <f>F15</f>
        <v>133</v>
      </c>
      <c r="D16">
        <f>C16+I$3</f>
        <v>134</v>
      </c>
      <c r="E16">
        <f>D16+J$3</f>
        <v>135</v>
      </c>
      <c r="F16">
        <f>E16+K$3</f>
        <v>136</v>
      </c>
      <c r="I16" t="str">
        <f>v0!K76</f>
        <v>UVread latancy</v>
      </c>
      <c r="J16" t="str">
        <f>v0!L76</f>
        <v>8x8 input cc</v>
      </c>
      <c r="K16" t="str">
        <f>v0!M76</f>
        <v>8x8 work cc</v>
      </c>
      <c r="L16" t="str">
        <f>v0!N76</f>
        <v>8x8 output cc</v>
      </c>
      <c r="M16">
        <f>v0!O76</f>
        <v>0</v>
      </c>
      <c r="N16">
        <f>v0!P76</f>
        <v>0</v>
      </c>
      <c r="O16">
        <f>v0!Q76</f>
        <v>0</v>
      </c>
      <c r="P16">
        <f>v0!R76</f>
        <v>0</v>
      </c>
    </row>
    <row r="17" spans="1:16" x14ac:dyDescent="0.2">
      <c r="A17" t="s">
        <v>34</v>
      </c>
      <c r="C17">
        <f>F16</f>
        <v>136</v>
      </c>
      <c r="D17">
        <f>C17+I$5</f>
        <v>137</v>
      </c>
      <c r="E17">
        <f>D17+J$5</f>
        <v>138</v>
      </c>
      <c r="F17">
        <f>E17+K$5</f>
        <v>139</v>
      </c>
      <c r="I17">
        <f>v0!K77</f>
        <v>2</v>
      </c>
      <c r="J17">
        <f>v0!L77</f>
        <v>16</v>
      </c>
      <c r="K17">
        <f>v0!M77</f>
        <v>6</v>
      </c>
      <c r="L17">
        <f>v0!N77</f>
        <v>8</v>
      </c>
      <c r="M17">
        <f>v0!O77</f>
        <v>0</v>
      </c>
      <c r="N17">
        <f>v0!P77</f>
        <v>0</v>
      </c>
      <c r="O17">
        <f>v0!Q77</f>
        <v>0</v>
      </c>
      <c r="P17">
        <f>v0!R77</f>
        <v>0</v>
      </c>
    </row>
    <row r="18" spans="1:16" x14ac:dyDescent="0.2">
      <c r="A18" t="s">
        <v>230</v>
      </c>
      <c r="B18">
        <f>F17</f>
        <v>139</v>
      </c>
      <c r="C18">
        <f>B18+I$11</f>
        <v>141</v>
      </c>
      <c r="D18">
        <f>C18+J$11</f>
        <v>148</v>
      </c>
      <c r="E18">
        <f>D18+K$11</f>
        <v>154</v>
      </c>
      <c r="F18">
        <f>E18+L$11</f>
        <v>158</v>
      </c>
      <c r="I18" t="str">
        <f>v0!K78</f>
        <v>UVread latancy</v>
      </c>
      <c r="J18" t="str">
        <f>v0!L78</f>
        <v>4x4 input cc</v>
      </c>
      <c r="K18" t="str">
        <f>v0!M78</f>
        <v>4x4 work cc</v>
      </c>
      <c r="L18" t="str">
        <f>v0!N78</f>
        <v>4x4 output cc</v>
      </c>
      <c r="M18">
        <f>v0!O78</f>
        <v>0</v>
      </c>
      <c r="N18">
        <f>v0!P78</f>
        <v>0</v>
      </c>
      <c r="O18">
        <f>v0!Q78</f>
        <v>0</v>
      </c>
      <c r="P18">
        <f>v0!R78</f>
        <v>0</v>
      </c>
    </row>
    <row r="19" spans="1:16" x14ac:dyDescent="0.2">
      <c r="A19" t="s">
        <v>226</v>
      </c>
      <c r="C19">
        <f>F18</f>
        <v>158</v>
      </c>
      <c r="D19">
        <f>C19+N$5</f>
        <v>158</v>
      </c>
      <c r="E19">
        <f>D19+O$5</f>
        <v>176</v>
      </c>
      <c r="F19">
        <f t="shared" ref="F19" si="7">E19+P$5</f>
        <v>177</v>
      </c>
      <c r="I19">
        <f>v0!K79</f>
        <v>2</v>
      </c>
      <c r="J19">
        <f>v0!L79</f>
        <v>6</v>
      </c>
      <c r="K19">
        <f>v0!M79</f>
        <v>8</v>
      </c>
      <c r="L19">
        <f>v0!N79</f>
        <v>2</v>
      </c>
      <c r="M19">
        <f>v0!O79</f>
        <v>0</v>
      </c>
      <c r="N19">
        <f>v0!P79</f>
        <v>0</v>
      </c>
      <c r="O19">
        <f>v0!Q79</f>
        <v>0</v>
      </c>
      <c r="P19">
        <f>v0!R79</f>
        <v>0</v>
      </c>
    </row>
    <row r="20" spans="1:16" x14ac:dyDescent="0.2">
      <c r="A20" t="s">
        <v>225</v>
      </c>
      <c r="C20">
        <f>F19</f>
        <v>177</v>
      </c>
      <c r="D20">
        <f>C20+I$3</f>
        <v>178</v>
      </c>
      <c r="E20">
        <f>D20+J$3</f>
        <v>179</v>
      </c>
      <c r="F20">
        <f>E20+K$3</f>
        <v>180</v>
      </c>
      <c r="I20">
        <f>v0!K80</f>
        <v>0</v>
      </c>
      <c r="J20">
        <f>v0!L80</f>
        <v>0</v>
      </c>
      <c r="K20">
        <f>v0!M80</f>
        <v>0</v>
      </c>
      <c r="L20">
        <f>v0!N80</f>
        <v>0</v>
      </c>
      <c r="M20">
        <f>v0!O80</f>
        <v>0</v>
      </c>
      <c r="N20">
        <f>v0!P80</f>
        <v>0</v>
      </c>
      <c r="O20">
        <f>v0!Q80</f>
        <v>0</v>
      </c>
      <c r="P20">
        <f>v0!R80</f>
        <v>0</v>
      </c>
    </row>
    <row r="21" spans="1:16" x14ac:dyDescent="0.2">
      <c r="A21" t="s">
        <v>34</v>
      </c>
      <c r="C21">
        <f>F20</f>
        <v>180</v>
      </c>
      <c r="D21">
        <f>C21+I$5</f>
        <v>181</v>
      </c>
      <c r="E21">
        <f>D21+J$5</f>
        <v>182</v>
      </c>
      <c r="F21">
        <f>E21+K$5</f>
        <v>183</v>
      </c>
      <c r="I21">
        <f>v0!K81</f>
        <v>0</v>
      </c>
      <c r="J21">
        <f>v0!L81</f>
        <v>0</v>
      </c>
      <c r="K21">
        <f>v0!M81</f>
        <v>0</v>
      </c>
      <c r="L21">
        <f>v0!N81</f>
        <v>0</v>
      </c>
      <c r="M21">
        <f>v0!O81</f>
        <v>0</v>
      </c>
      <c r="N21">
        <f>v0!P81</f>
        <v>0</v>
      </c>
      <c r="O21">
        <f>v0!Q81</f>
        <v>0</v>
      </c>
      <c r="P21">
        <f>v0!R81</f>
        <v>0</v>
      </c>
    </row>
    <row r="22" spans="1:16" x14ac:dyDescent="0.2">
      <c r="A22" t="s">
        <v>159</v>
      </c>
      <c r="B22" s="54">
        <f>B10-J$11</f>
        <v>44</v>
      </c>
      <c r="C22">
        <f>B22+I$11</f>
        <v>46</v>
      </c>
      <c r="D22">
        <f>C22+J$11</f>
        <v>53</v>
      </c>
      <c r="E22">
        <f>D22+K$11</f>
        <v>59</v>
      </c>
      <c r="F22">
        <f>E22+L$11</f>
        <v>63</v>
      </c>
      <c r="I22">
        <f>v0!K82</f>
        <v>0</v>
      </c>
      <c r="J22">
        <f>v0!L82</f>
        <v>0</v>
      </c>
      <c r="K22">
        <f>v0!M82</f>
        <v>0</v>
      </c>
      <c r="L22">
        <f>v0!N82</f>
        <v>0</v>
      </c>
      <c r="M22">
        <f>v0!O82</f>
        <v>0</v>
      </c>
      <c r="N22">
        <f>v0!P82</f>
        <v>0</v>
      </c>
      <c r="O22">
        <f>v0!Q82</f>
        <v>0</v>
      </c>
      <c r="P22">
        <f>v0!R82</f>
        <v>0</v>
      </c>
    </row>
    <row r="23" spans="1:16" x14ac:dyDescent="0.2">
      <c r="A23" t="s">
        <v>160</v>
      </c>
      <c r="B23" s="54">
        <f>B14-J$11</f>
        <v>88</v>
      </c>
      <c r="C23">
        <f>B23+I$11</f>
        <v>90</v>
      </c>
      <c r="D23">
        <f>C23+J$11</f>
        <v>97</v>
      </c>
      <c r="E23">
        <f>D23+K$11</f>
        <v>103</v>
      </c>
      <c r="F23">
        <f>E23+L$11</f>
        <v>107</v>
      </c>
      <c r="I23">
        <f>v0!K83</f>
        <v>0</v>
      </c>
      <c r="J23">
        <f>v0!L83</f>
        <v>0</v>
      </c>
      <c r="K23">
        <f>v0!M83</f>
        <v>0</v>
      </c>
      <c r="L23">
        <f>v0!N83</f>
        <v>0</v>
      </c>
      <c r="M23">
        <f>v0!O83</f>
        <v>0</v>
      </c>
      <c r="N23">
        <f>v0!P83</f>
        <v>0</v>
      </c>
      <c r="O23">
        <f>v0!Q83</f>
        <v>0</v>
      </c>
      <c r="P23">
        <f>v0!R83</f>
        <v>0</v>
      </c>
    </row>
    <row r="24" spans="1:16" x14ac:dyDescent="0.2">
      <c r="A24" t="s">
        <v>161</v>
      </c>
      <c r="B24" s="54">
        <f>B18-J$11</f>
        <v>132</v>
      </c>
      <c r="C24">
        <f>B24+I$11</f>
        <v>134</v>
      </c>
      <c r="D24">
        <f>C24+J$11</f>
        <v>141</v>
      </c>
      <c r="E24">
        <f>D24+K$11</f>
        <v>147</v>
      </c>
      <c r="F24">
        <f>E24+L$11</f>
        <v>151</v>
      </c>
      <c r="I24">
        <f>v0!K84</f>
        <v>0</v>
      </c>
      <c r="J24">
        <f>v0!L84</f>
        <v>0</v>
      </c>
      <c r="K24">
        <f>v0!M84</f>
        <v>0</v>
      </c>
      <c r="L24">
        <f>v0!N84</f>
        <v>0</v>
      </c>
      <c r="M24">
        <f>v0!O84</f>
        <v>0</v>
      </c>
      <c r="N24">
        <f>v0!P84</f>
        <v>0</v>
      </c>
      <c r="O24">
        <f>v0!Q84</f>
        <v>0</v>
      </c>
      <c r="P24">
        <f>v0!R84</f>
        <v>0</v>
      </c>
    </row>
    <row r="25" spans="1:16" x14ac:dyDescent="0.2">
      <c r="A25" t="s">
        <v>241</v>
      </c>
      <c r="E25">
        <f>E5+1</f>
        <v>16</v>
      </c>
      <c r="F25">
        <f>F5+1</f>
        <v>20</v>
      </c>
      <c r="I25">
        <f>v0!K85</f>
        <v>0</v>
      </c>
      <c r="J25">
        <f>v0!L85</f>
        <v>0</v>
      </c>
      <c r="K25">
        <f>v0!M85</f>
        <v>0</v>
      </c>
      <c r="L25">
        <f>v0!N85</f>
        <v>0</v>
      </c>
      <c r="M25">
        <f>v0!O85</f>
        <v>0</v>
      </c>
      <c r="N25">
        <f>v0!P85</f>
        <v>0</v>
      </c>
      <c r="O25">
        <f>v0!Q85</f>
        <v>0</v>
      </c>
      <c r="P25">
        <f>v0!R85</f>
        <v>0</v>
      </c>
    </row>
    <row r="26" spans="1:16" x14ac:dyDescent="0.2">
      <c r="A26" t="s">
        <v>243</v>
      </c>
      <c r="E26">
        <f>E6+1</f>
        <v>23</v>
      </c>
      <c r="F26">
        <f>F6+1</f>
        <v>27</v>
      </c>
      <c r="I26">
        <f>v0!K86</f>
        <v>0</v>
      </c>
      <c r="J26">
        <f>v0!L86</f>
        <v>0</v>
      </c>
      <c r="K26">
        <f>v0!M86</f>
        <v>0</v>
      </c>
      <c r="L26">
        <f>v0!N86</f>
        <v>0</v>
      </c>
      <c r="M26">
        <f>v0!O86</f>
        <v>0</v>
      </c>
      <c r="N26">
        <f>v0!P86</f>
        <v>0</v>
      </c>
      <c r="O26">
        <f>v0!Q86</f>
        <v>0</v>
      </c>
      <c r="P26">
        <f>v0!R86</f>
        <v>0</v>
      </c>
    </row>
    <row r="27" spans="1:16" x14ac:dyDescent="0.2">
      <c r="A27" t="s">
        <v>244</v>
      </c>
      <c r="E27">
        <f>E10+1</f>
        <v>67</v>
      </c>
      <c r="F27">
        <f>F10+1</f>
        <v>71</v>
      </c>
    </row>
    <row r="28" spans="1:16" x14ac:dyDescent="0.2">
      <c r="A28" t="s">
        <v>247</v>
      </c>
      <c r="E28">
        <f>E22+1</f>
        <v>60</v>
      </c>
      <c r="F28">
        <f>F22+1</f>
        <v>64</v>
      </c>
    </row>
    <row r="29" spans="1:16" x14ac:dyDescent="0.2">
      <c r="A29" t="s">
        <v>245</v>
      </c>
      <c r="E29">
        <f>E14+1</f>
        <v>111</v>
      </c>
      <c r="F29">
        <f>F14+1</f>
        <v>115</v>
      </c>
    </row>
    <row r="30" spans="1:16" x14ac:dyDescent="0.2">
      <c r="A30" t="s">
        <v>248</v>
      </c>
      <c r="E30">
        <f>E23+1</f>
        <v>104</v>
      </c>
      <c r="F30">
        <f>F23+1</f>
        <v>108</v>
      </c>
    </row>
    <row r="31" spans="1:16" x14ac:dyDescent="0.2">
      <c r="A31" t="s">
        <v>246</v>
      </c>
      <c r="E31">
        <f>E18+1</f>
        <v>155</v>
      </c>
      <c r="F31">
        <f>F18+1</f>
        <v>159</v>
      </c>
    </row>
    <row r="32" spans="1:16" x14ac:dyDescent="0.2">
      <c r="A32" t="s">
        <v>249</v>
      </c>
      <c r="E32">
        <f>E24+1</f>
        <v>148</v>
      </c>
      <c r="F32">
        <f>F24+1</f>
        <v>152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3F-8921-434D-8066-C23E3B225BD9}">
  <dimension ref="A1:P26"/>
  <sheetViews>
    <sheetView workbookViewId="0">
      <selection activeCell="F36" sqref="F36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239</v>
      </c>
      <c r="I1" t="str">
        <f>v0!K61</f>
        <v>H264</v>
      </c>
      <c r="J1">
        <f>v0!L61</f>
        <v>0</v>
      </c>
      <c r="K1">
        <f>v0!M61</f>
        <v>0</v>
      </c>
      <c r="L1">
        <f>v0!N61</f>
        <v>0</v>
      </c>
      <c r="M1">
        <f>v0!O61</f>
        <v>0</v>
      </c>
      <c r="N1">
        <f>v0!P61</f>
        <v>0</v>
      </c>
      <c r="O1">
        <f>v0!Q61</f>
        <v>0</v>
      </c>
      <c r="P1">
        <f>v0!R61</f>
        <v>0</v>
      </c>
    </row>
    <row r="2" spans="1:16" x14ac:dyDescent="0.2">
      <c r="A2" t="s">
        <v>1</v>
      </c>
      <c r="B2" t="s">
        <v>2</v>
      </c>
      <c r="I2" t="str">
        <f>v0!K62</f>
        <v>inter pk in</v>
      </c>
      <c r="J2" t="str">
        <f>v0!L62</f>
        <v>inter pk work</v>
      </c>
      <c r="K2" t="str">
        <f>v0!M62</f>
        <v>inter pk out</v>
      </c>
      <c r="L2">
        <f>v0!N62</f>
        <v>0</v>
      </c>
      <c r="M2">
        <f>v0!O62</f>
        <v>0</v>
      </c>
      <c r="N2" t="str">
        <f>v0!P62</f>
        <v>tqitq16x16 input</v>
      </c>
      <c r="O2" t="str">
        <f>v0!Q62</f>
        <v>tqitq work</v>
      </c>
      <c r="P2" t="str">
        <f>v0!R62</f>
        <v>tqitq out</v>
      </c>
    </row>
    <row r="3" spans="1:16" x14ac:dyDescent="0.2">
      <c r="A3" t="s">
        <v>3</v>
      </c>
      <c r="B3" t="s">
        <v>4</v>
      </c>
      <c r="I3">
        <f>v0!K63</f>
        <v>1</v>
      </c>
      <c r="J3">
        <f>v0!L63</f>
        <v>1</v>
      </c>
      <c r="K3">
        <f>v0!M63</f>
        <v>1</v>
      </c>
      <c r="L3">
        <f>v0!N63</f>
        <v>0</v>
      </c>
      <c r="M3">
        <f>v0!O63</f>
        <v>0</v>
      </c>
      <c r="N3">
        <f>v0!P63</f>
        <v>0</v>
      </c>
      <c r="O3">
        <f>v0!Q63</f>
        <v>29</v>
      </c>
      <c r="P3">
        <f>v0!R63</f>
        <v>1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v0!K64</f>
        <v>sel pk in</v>
      </c>
      <c r="J4" t="str">
        <f>v0!L64</f>
        <v>sel pk work</v>
      </c>
      <c r="K4" t="str">
        <f>v0!M64</f>
        <v>sel pk out</v>
      </c>
      <c r="L4">
        <f>v0!N64</f>
        <v>0</v>
      </c>
      <c r="M4">
        <f>v0!O64</f>
        <v>0</v>
      </c>
      <c r="N4" t="str">
        <f>v0!P64</f>
        <v>tqitq8x8 input</v>
      </c>
      <c r="O4" t="str">
        <f>v0!Q64</f>
        <v>tqitq work</v>
      </c>
      <c r="P4" t="str">
        <f>v0!R64</f>
        <v>tqitq out</v>
      </c>
    </row>
    <row r="5" spans="1:16" x14ac:dyDescent="0.2">
      <c r="A5" t="s">
        <v>286</v>
      </c>
      <c r="B5">
        <v>4</v>
      </c>
      <c r="C5">
        <f>B5+I9</f>
        <v>6</v>
      </c>
      <c r="D5">
        <f t="shared" ref="D5:F5" si="0">C5+J9</f>
        <v>28</v>
      </c>
      <c r="E5" s="65">
        <f>D5+K9+2</f>
        <v>30</v>
      </c>
      <c r="I5">
        <f>v0!K65</f>
        <v>1</v>
      </c>
      <c r="J5">
        <f>v0!L65</f>
        <v>1</v>
      </c>
      <c r="K5">
        <f>v0!M65</f>
        <v>1</v>
      </c>
      <c r="L5">
        <f>v0!N65</f>
        <v>0</v>
      </c>
      <c r="M5">
        <f>v0!O65</f>
        <v>0</v>
      </c>
      <c r="N5">
        <f>v0!P65</f>
        <v>0</v>
      </c>
      <c r="O5">
        <f>v0!Q65</f>
        <v>18</v>
      </c>
      <c r="P5">
        <f>v0!R65</f>
        <v>1</v>
      </c>
    </row>
    <row r="6" spans="1:16" x14ac:dyDescent="0.2">
      <c r="A6" t="s">
        <v>287</v>
      </c>
      <c r="B6">
        <f>D5-2+20</f>
        <v>46</v>
      </c>
      <c r="C6">
        <f>B6+I9</f>
        <v>48</v>
      </c>
      <c r="D6">
        <f t="shared" ref="D6:F6" si="1">C6+J9</f>
        <v>70</v>
      </c>
      <c r="E6">
        <f t="shared" si="1"/>
        <v>70</v>
      </c>
      <c r="I6" t="str">
        <f>v0!K66</f>
        <v>Yread latancy</v>
      </c>
      <c r="J6" t="str">
        <f>v0!L66</f>
        <v>32x32 input cc</v>
      </c>
      <c r="K6" t="str">
        <f>v0!M66</f>
        <v>32x32 work cc</v>
      </c>
      <c r="L6" t="str">
        <f>v0!N66</f>
        <v>32x32 output cc</v>
      </c>
      <c r="M6">
        <f>v0!O66</f>
        <v>0</v>
      </c>
      <c r="N6" t="str">
        <f>v0!P66</f>
        <v>tqitq4x4 input</v>
      </c>
      <c r="O6" t="str">
        <f>v0!Q66</f>
        <v>tqitq work</v>
      </c>
      <c r="P6" t="str">
        <f>v0!R66</f>
        <v>tqitq out</v>
      </c>
    </row>
    <row r="7" spans="1:16" x14ac:dyDescent="0.2">
      <c r="A7" t="s">
        <v>235</v>
      </c>
      <c r="E7">
        <f>E5</f>
        <v>30</v>
      </c>
      <c r="F7">
        <f>E7+L$11</f>
        <v>34</v>
      </c>
      <c r="I7">
        <f>v0!K67</f>
        <v>0</v>
      </c>
      <c r="J7">
        <f>v0!L67</f>
        <v>0</v>
      </c>
      <c r="K7">
        <f>v0!M67</f>
        <v>0</v>
      </c>
      <c r="L7">
        <f>v0!N67</f>
        <v>0</v>
      </c>
      <c r="M7">
        <f>v0!O67</f>
        <v>0</v>
      </c>
      <c r="N7">
        <f>v0!P67</f>
        <v>0</v>
      </c>
      <c r="O7">
        <f>v0!Q67</f>
        <v>11</v>
      </c>
      <c r="P7">
        <f>v0!R67</f>
        <v>1</v>
      </c>
    </row>
    <row r="8" spans="1:16" x14ac:dyDescent="0.2">
      <c r="A8" t="s">
        <v>236</v>
      </c>
      <c r="E8">
        <f>F7</f>
        <v>34</v>
      </c>
      <c r="F8">
        <f>E8+L$11</f>
        <v>38</v>
      </c>
      <c r="I8" t="str">
        <f>v0!K68</f>
        <v>Yread latancy</v>
      </c>
      <c r="J8" t="str">
        <f>v0!L68</f>
        <v>16x16 input cc</v>
      </c>
      <c r="K8" t="str">
        <f>v0!M68</f>
        <v>16x16 work cc</v>
      </c>
      <c r="L8" t="str">
        <f>v0!N68</f>
        <v>16x16 output cc</v>
      </c>
      <c r="M8">
        <f>v0!O68</f>
        <v>0</v>
      </c>
      <c r="N8" t="str">
        <f>v0!P68</f>
        <v>chroma</v>
      </c>
      <c r="O8">
        <f>v0!Q68</f>
        <v>0</v>
      </c>
      <c r="P8">
        <f>v0!R68</f>
        <v>0</v>
      </c>
    </row>
    <row r="9" spans="1:16" x14ac:dyDescent="0.2">
      <c r="A9" t="s">
        <v>237</v>
      </c>
      <c r="E9">
        <f t="shared" ref="E9:E10" si="2">F8</f>
        <v>38</v>
      </c>
      <c r="F9">
        <f t="shared" ref="F9:F10" si="3">E9+L$11</f>
        <v>42</v>
      </c>
      <c r="I9">
        <f>v0!K69</f>
        <v>2</v>
      </c>
      <c r="J9">
        <f>v0!L69</f>
        <v>22</v>
      </c>
      <c r="K9">
        <f>v0!M69</f>
        <v>0</v>
      </c>
      <c r="L9">
        <f>v0!N69</f>
        <v>20</v>
      </c>
      <c r="M9">
        <f>v0!O69</f>
        <v>0</v>
      </c>
      <c r="N9" t="str">
        <f>v0!P69</f>
        <v>tqitq16x16 input</v>
      </c>
      <c r="O9" t="str">
        <f>v0!Q69</f>
        <v>tqitq work</v>
      </c>
      <c r="P9" t="str">
        <f>v0!R69</f>
        <v>tqitq out</v>
      </c>
    </row>
    <row r="10" spans="1:16" x14ac:dyDescent="0.2">
      <c r="A10" t="s">
        <v>238</v>
      </c>
      <c r="E10">
        <f t="shared" si="2"/>
        <v>42</v>
      </c>
      <c r="F10">
        <f>E10+L$11+4</f>
        <v>50</v>
      </c>
      <c r="I10" t="str">
        <f>v0!K70</f>
        <v>Yread latancy</v>
      </c>
      <c r="J10" t="str">
        <f>v0!L70</f>
        <v>8x8 input cc</v>
      </c>
      <c r="K10" t="str">
        <f>v0!M70</f>
        <v>8x8 work cc</v>
      </c>
      <c r="L10" t="str">
        <f>v0!N70</f>
        <v>8x8 output cc</v>
      </c>
      <c r="M10">
        <f>v0!O70</f>
        <v>0</v>
      </c>
      <c r="N10">
        <f>v0!P70</f>
        <v>0</v>
      </c>
      <c r="O10">
        <f>v0!Q70</f>
        <v>0</v>
      </c>
      <c r="P10">
        <f>v0!R70</f>
        <v>0</v>
      </c>
    </row>
    <row r="11" spans="1:16" x14ac:dyDescent="0.2">
      <c r="A11" t="s">
        <v>231</v>
      </c>
      <c r="B11" s="68"/>
      <c r="E11">
        <f>E6</f>
        <v>70</v>
      </c>
      <c r="F11">
        <f>E11+L$11</f>
        <v>74</v>
      </c>
      <c r="I11">
        <f>v0!K71</f>
        <v>2</v>
      </c>
      <c r="J11">
        <f>v0!L71</f>
        <v>7</v>
      </c>
      <c r="K11">
        <f>v0!M71</f>
        <v>6</v>
      </c>
      <c r="L11">
        <f>v0!N71</f>
        <v>4</v>
      </c>
      <c r="M11">
        <f>v0!O71</f>
        <v>0</v>
      </c>
      <c r="N11" t="str">
        <f>v0!P71</f>
        <v>tqitq8x8 input</v>
      </c>
      <c r="O11" t="str">
        <f>v0!Q71</f>
        <v>tqitq work</v>
      </c>
      <c r="P11" t="str">
        <f>v0!R71</f>
        <v>tqitq out</v>
      </c>
    </row>
    <row r="12" spans="1:16" x14ac:dyDescent="0.2">
      <c r="A12" t="s">
        <v>232</v>
      </c>
      <c r="E12">
        <f>F11</f>
        <v>74</v>
      </c>
      <c r="F12">
        <f t="shared" ref="F12:F14" si="4">E12+L$11</f>
        <v>78</v>
      </c>
      <c r="I12" t="str">
        <f>v0!K72</f>
        <v>Yread latancy</v>
      </c>
      <c r="J12" t="str">
        <f>v0!L72</f>
        <v>4x4 input cc</v>
      </c>
      <c r="K12" t="str">
        <f>v0!M72</f>
        <v>4x4 work cc</v>
      </c>
      <c r="L12" t="str">
        <f>v0!N72</f>
        <v>4x4 output cc</v>
      </c>
      <c r="M12">
        <f>v0!O72</f>
        <v>0</v>
      </c>
      <c r="N12">
        <f>v0!P72</f>
        <v>0</v>
      </c>
      <c r="O12">
        <f>v0!Q72</f>
        <v>0</v>
      </c>
      <c r="P12">
        <f>v0!R72</f>
        <v>0</v>
      </c>
    </row>
    <row r="13" spans="1:16" x14ac:dyDescent="0.2">
      <c r="A13" t="s">
        <v>233</v>
      </c>
      <c r="E13">
        <f t="shared" ref="E13:E14" si="5">F12</f>
        <v>78</v>
      </c>
      <c r="F13">
        <f t="shared" ref="F13:F14" si="6">E13+L$11</f>
        <v>82</v>
      </c>
      <c r="I13">
        <f>v0!K73</f>
        <v>0</v>
      </c>
      <c r="J13">
        <f>v0!L73</f>
        <v>0</v>
      </c>
      <c r="K13">
        <f>v0!M73</f>
        <v>0</v>
      </c>
      <c r="L13">
        <f>v0!N73</f>
        <v>0</v>
      </c>
      <c r="M13">
        <f>v0!O73</f>
        <v>0</v>
      </c>
      <c r="N13" t="str">
        <f>v0!P73</f>
        <v>tqitq4x4 input</v>
      </c>
      <c r="O13" t="str">
        <f>v0!Q73</f>
        <v>tqitq work</v>
      </c>
      <c r="P13" t="str">
        <f>v0!R73</f>
        <v>tqitq out</v>
      </c>
    </row>
    <row r="14" spans="1:16" x14ac:dyDescent="0.2">
      <c r="A14" t="s">
        <v>234</v>
      </c>
      <c r="E14">
        <f t="shared" si="5"/>
        <v>82</v>
      </c>
      <c r="F14">
        <f>E14+L$11+4</f>
        <v>90</v>
      </c>
      <c r="I14" t="str">
        <f>v0!K74</f>
        <v>UVread latancy</v>
      </c>
      <c r="J14" t="str">
        <f>v0!L74</f>
        <v>16x16 input cc</v>
      </c>
      <c r="K14" t="str">
        <f>v0!M74</f>
        <v>16x16 work cc</v>
      </c>
      <c r="L14" t="str">
        <f>v0!N74</f>
        <v>16x16 output cc</v>
      </c>
      <c r="M14">
        <f>v0!O74</f>
        <v>0</v>
      </c>
      <c r="N14">
        <f>v0!P74</f>
        <v>0</v>
      </c>
      <c r="O14">
        <f>v0!Q74</f>
        <v>12</v>
      </c>
      <c r="P14">
        <f>v0!R74</f>
        <v>1</v>
      </c>
    </row>
    <row r="15" spans="1:16" x14ac:dyDescent="0.2">
      <c r="A15" t="s">
        <v>250</v>
      </c>
      <c r="E15">
        <f>E7+1</f>
        <v>31</v>
      </c>
      <c r="F15">
        <f>F7+1</f>
        <v>35</v>
      </c>
      <c r="I15">
        <f>v0!K75</f>
        <v>0</v>
      </c>
      <c r="J15">
        <f>v0!L75</f>
        <v>0</v>
      </c>
      <c r="K15">
        <f>v0!M75</f>
        <v>0</v>
      </c>
      <c r="L15">
        <f>v0!N75</f>
        <v>0</v>
      </c>
      <c r="M15">
        <f>v0!O75</f>
        <v>0</v>
      </c>
      <c r="N15">
        <f>v0!P75</f>
        <v>0</v>
      </c>
      <c r="O15">
        <f>v0!Q75</f>
        <v>0</v>
      </c>
      <c r="P15">
        <f>v0!R75</f>
        <v>0</v>
      </c>
    </row>
    <row r="16" spans="1:16" x14ac:dyDescent="0.2">
      <c r="A16" t="s">
        <v>251</v>
      </c>
      <c r="E16">
        <f t="shared" ref="E16:F22" si="7">E8+1</f>
        <v>35</v>
      </c>
      <c r="F16">
        <f t="shared" si="7"/>
        <v>39</v>
      </c>
      <c r="I16" t="str">
        <f>v0!K76</f>
        <v>UVread latancy</v>
      </c>
      <c r="J16" t="str">
        <f>v0!L76</f>
        <v>8x8 input cc</v>
      </c>
      <c r="K16" t="str">
        <f>v0!M76</f>
        <v>8x8 work cc</v>
      </c>
      <c r="L16" t="str">
        <f>v0!N76</f>
        <v>8x8 output cc</v>
      </c>
      <c r="M16">
        <f>v0!O76</f>
        <v>0</v>
      </c>
      <c r="N16">
        <f>v0!P76</f>
        <v>0</v>
      </c>
      <c r="O16">
        <f>v0!Q76</f>
        <v>0</v>
      </c>
      <c r="P16">
        <f>v0!R76</f>
        <v>0</v>
      </c>
    </row>
    <row r="17" spans="1:16" x14ac:dyDescent="0.2">
      <c r="A17" t="s">
        <v>252</v>
      </c>
      <c r="E17">
        <f t="shared" si="7"/>
        <v>39</v>
      </c>
      <c r="F17">
        <f t="shared" si="7"/>
        <v>43</v>
      </c>
      <c r="I17">
        <f>v0!K77</f>
        <v>2</v>
      </c>
      <c r="J17">
        <f>v0!L77</f>
        <v>16</v>
      </c>
      <c r="K17">
        <f>v0!M77</f>
        <v>6</v>
      </c>
      <c r="L17">
        <f>v0!N77</f>
        <v>8</v>
      </c>
      <c r="M17">
        <f>v0!O77</f>
        <v>0</v>
      </c>
      <c r="N17">
        <f>v0!P77</f>
        <v>0</v>
      </c>
      <c r="O17">
        <f>v0!Q77</f>
        <v>0</v>
      </c>
      <c r="P17">
        <f>v0!R77</f>
        <v>0</v>
      </c>
    </row>
    <row r="18" spans="1:16" x14ac:dyDescent="0.2">
      <c r="A18" t="s">
        <v>253</v>
      </c>
      <c r="E18">
        <f t="shared" si="7"/>
        <v>43</v>
      </c>
      <c r="F18">
        <f t="shared" si="7"/>
        <v>51</v>
      </c>
      <c r="I18" t="str">
        <f>v0!K78</f>
        <v>UVread latancy</v>
      </c>
      <c r="J18" t="str">
        <f>v0!L78</f>
        <v>4x4 input cc</v>
      </c>
      <c r="K18" t="str">
        <f>v0!M78</f>
        <v>4x4 work cc</v>
      </c>
      <c r="L18" t="str">
        <f>v0!N78</f>
        <v>4x4 output cc</v>
      </c>
      <c r="M18">
        <f>v0!O78</f>
        <v>0</v>
      </c>
      <c r="N18">
        <f>v0!P78</f>
        <v>0</v>
      </c>
      <c r="O18">
        <f>v0!Q78</f>
        <v>0</v>
      </c>
      <c r="P18">
        <f>v0!R78</f>
        <v>0</v>
      </c>
    </row>
    <row r="19" spans="1:16" x14ac:dyDescent="0.2">
      <c r="A19" t="s">
        <v>254</v>
      </c>
      <c r="E19">
        <f t="shared" si="7"/>
        <v>71</v>
      </c>
      <c r="F19">
        <f t="shared" si="7"/>
        <v>75</v>
      </c>
      <c r="I19">
        <f>v0!K79</f>
        <v>2</v>
      </c>
      <c r="J19">
        <f>v0!L79</f>
        <v>6</v>
      </c>
      <c r="K19">
        <f>v0!M79</f>
        <v>8</v>
      </c>
      <c r="L19">
        <f>v0!N79</f>
        <v>2</v>
      </c>
      <c r="M19">
        <f>v0!O79</f>
        <v>0</v>
      </c>
      <c r="N19">
        <f>v0!P79</f>
        <v>0</v>
      </c>
      <c r="O19">
        <f>v0!Q79</f>
        <v>0</v>
      </c>
      <c r="P19">
        <f>v0!R79</f>
        <v>0</v>
      </c>
    </row>
    <row r="20" spans="1:16" x14ac:dyDescent="0.2">
      <c r="A20" t="s">
        <v>255</v>
      </c>
      <c r="E20">
        <f t="shared" si="7"/>
        <v>75</v>
      </c>
      <c r="F20">
        <f t="shared" si="7"/>
        <v>79</v>
      </c>
      <c r="I20">
        <f>v0!K80</f>
        <v>0</v>
      </c>
      <c r="J20">
        <f>v0!L80</f>
        <v>0</v>
      </c>
      <c r="K20">
        <f>v0!M80</f>
        <v>0</v>
      </c>
      <c r="L20">
        <f>v0!N80</f>
        <v>0</v>
      </c>
      <c r="M20">
        <f>v0!O80</f>
        <v>0</v>
      </c>
      <c r="N20">
        <f>v0!P80</f>
        <v>0</v>
      </c>
      <c r="O20">
        <f>v0!Q80</f>
        <v>0</v>
      </c>
      <c r="P20">
        <f>v0!R80</f>
        <v>0</v>
      </c>
    </row>
    <row r="21" spans="1:16" x14ac:dyDescent="0.2">
      <c r="A21" t="s">
        <v>256</v>
      </c>
      <c r="E21">
        <f t="shared" si="7"/>
        <v>79</v>
      </c>
      <c r="F21">
        <f t="shared" si="7"/>
        <v>83</v>
      </c>
      <c r="I21">
        <f>v0!K81</f>
        <v>0</v>
      </c>
      <c r="J21">
        <f>v0!L81</f>
        <v>0</v>
      </c>
      <c r="K21">
        <f>v0!M81</f>
        <v>0</v>
      </c>
      <c r="L21">
        <f>v0!N81</f>
        <v>0</v>
      </c>
      <c r="M21">
        <f>v0!O81</f>
        <v>0</v>
      </c>
      <c r="N21">
        <f>v0!P81</f>
        <v>0</v>
      </c>
      <c r="O21">
        <f>v0!Q81</f>
        <v>0</v>
      </c>
      <c r="P21">
        <f>v0!R81</f>
        <v>0</v>
      </c>
    </row>
    <row r="22" spans="1:16" x14ac:dyDescent="0.2">
      <c r="A22" t="s">
        <v>257</v>
      </c>
      <c r="E22">
        <f t="shared" si="7"/>
        <v>83</v>
      </c>
      <c r="F22">
        <f t="shared" si="7"/>
        <v>91</v>
      </c>
      <c r="I22">
        <f>v0!K82</f>
        <v>0</v>
      </c>
      <c r="J22">
        <f>v0!L82</f>
        <v>0</v>
      </c>
      <c r="K22">
        <f>v0!M82</f>
        <v>0</v>
      </c>
      <c r="L22">
        <f>v0!N82</f>
        <v>0</v>
      </c>
      <c r="M22">
        <f>v0!O82</f>
        <v>0</v>
      </c>
      <c r="N22">
        <f>v0!P82</f>
        <v>0</v>
      </c>
      <c r="O22">
        <f>v0!Q82</f>
        <v>0</v>
      </c>
      <c r="P22">
        <f>v0!R82</f>
        <v>0</v>
      </c>
    </row>
    <row r="23" spans="1:16" x14ac:dyDescent="0.2">
      <c r="I23">
        <f>v0!K83</f>
        <v>0</v>
      </c>
      <c r="J23">
        <f>v0!L83</f>
        <v>0</v>
      </c>
      <c r="K23">
        <f>v0!M83</f>
        <v>0</v>
      </c>
      <c r="L23">
        <f>v0!N83</f>
        <v>0</v>
      </c>
      <c r="M23">
        <f>v0!O83</f>
        <v>0</v>
      </c>
      <c r="N23">
        <f>v0!P83</f>
        <v>0</v>
      </c>
      <c r="O23">
        <f>v0!Q83</f>
        <v>0</v>
      </c>
      <c r="P23">
        <f>v0!R83</f>
        <v>0</v>
      </c>
    </row>
    <row r="24" spans="1:16" x14ac:dyDescent="0.2">
      <c r="I24">
        <f>v0!K84</f>
        <v>0</v>
      </c>
      <c r="J24">
        <f>v0!L84</f>
        <v>0</v>
      </c>
      <c r="K24">
        <f>v0!M84</f>
        <v>0</v>
      </c>
      <c r="L24">
        <f>v0!N84</f>
        <v>0</v>
      </c>
      <c r="M24">
        <f>v0!O84</f>
        <v>0</v>
      </c>
      <c r="N24">
        <f>v0!P84</f>
        <v>0</v>
      </c>
      <c r="O24">
        <f>v0!Q84</f>
        <v>0</v>
      </c>
      <c r="P24">
        <f>v0!R84</f>
        <v>0</v>
      </c>
    </row>
    <row r="25" spans="1:16" x14ac:dyDescent="0.2">
      <c r="I25">
        <f>v0!K85</f>
        <v>0</v>
      </c>
      <c r="J25">
        <f>v0!L85</f>
        <v>0</v>
      </c>
      <c r="K25">
        <f>v0!M85</f>
        <v>0</v>
      </c>
      <c r="L25">
        <f>v0!N85</f>
        <v>0</v>
      </c>
      <c r="M25">
        <f>v0!O85</f>
        <v>0</v>
      </c>
      <c r="N25">
        <f>v0!P85</f>
        <v>0</v>
      </c>
      <c r="O25">
        <f>v0!Q85</f>
        <v>0</v>
      </c>
      <c r="P25">
        <f>v0!R85</f>
        <v>0</v>
      </c>
    </row>
    <row r="26" spans="1:16" x14ac:dyDescent="0.2">
      <c r="I26">
        <f>v0!K86</f>
        <v>0</v>
      </c>
      <c r="J26">
        <f>v0!L86</f>
        <v>0</v>
      </c>
      <c r="K26">
        <f>v0!M86</f>
        <v>0</v>
      </c>
      <c r="L26">
        <f>v0!N86</f>
        <v>0</v>
      </c>
      <c r="M26">
        <f>v0!O86</f>
        <v>0</v>
      </c>
      <c r="N26">
        <f>v0!P86</f>
        <v>0</v>
      </c>
      <c r="O26">
        <f>v0!Q86</f>
        <v>0</v>
      </c>
      <c r="P26">
        <f>v0!R86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745C-91F1-4442-962E-DE64FDFDAC26}">
  <dimension ref="A1:P26"/>
  <sheetViews>
    <sheetView workbookViewId="0">
      <selection activeCell="H37" sqref="H37"/>
    </sheetView>
  </sheetViews>
  <sheetFormatPr defaultRowHeight="14.25" x14ac:dyDescent="0.2"/>
  <cols>
    <col min="1" max="1" width="21.5" customWidth="1"/>
    <col min="3" max="3" width="10.625" customWidth="1"/>
    <col min="9" max="9" width="10.375" customWidth="1"/>
    <col min="10" max="10" width="10.25" customWidth="1"/>
    <col min="11" max="11" width="9.875" customWidth="1"/>
    <col min="12" max="12" width="9.75" customWidth="1"/>
    <col min="21" max="21" width="9.875" customWidth="1"/>
  </cols>
  <sheetData>
    <row r="1" spans="1:16" x14ac:dyDescent="0.2">
      <c r="A1" t="s">
        <v>0</v>
      </c>
      <c r="B1" t="s">
        <v>258</v>
      </c>
      <c r="I1" t="str">
        <f>v0!K61</f>
        <v>H264</v>
      </c>
      <c r="J1">
        <f>v0!L61</f>
        <v>0</v>
      </c>
      <c r="K1">
        <f>v0!M61</f>
        <v>0</v>
      </c>
      <c r="L1">
        <f>v0!N61</f>
        <v>0</v>
      </c>
      <c r="M1">
        <f>v0!O61</f>
        <v>0</v>
      </c>
      <c r="N1">
        <f>v0!P61</f>
        <v>0</v>
      </c>
      <c r="O1">
        <f>v0!Q61</f>
        <v>0</v>
      </c>
      <c r="P1">
        <f>v0!R61</f>
        <v>0</v>
      </c>
    </row>
    <row r="2" spans="1:16" x14ac:dyDescent="0.2">
      <c r="A2" t="s">
        <v>1</v>
      </c>
      <c r="B2" t="s">
        <v>2</v>
      </c>
      <c r="I2" t="str">
        <f>v0!K62</f>
        <v>inter pk in</v>
      </c>
      <c r="J2" t="str">
        <f>v0!L62</f>
        <v>inter pk work</v>
      </c>
      <c r="K2" t="str">
        <f>v0!M62</f>
        <v>inter pk out</v>
      </c>
      <c r="L2">
        <f>v0!N62</f>
        <v>0</v>
      </c>
      <c r="M2">
        <f>v0!O62</f>
        <v>0</v>
      </c>
      <c r="N2" t="str">
        <f>v0!P62</f>
        <v>tqitq16x16 input</v>
      </c>
      <c r="O2" t="str">
        <f>v0!Q62</f>
        <v>tqitq work</v>
      </c>
      <c r="P2" t="str">
        <f>v0!R62</f>
        <v>tqitq out</v>
      </c>
    </row>
    <row r="3" spans="1:16" x14ac:dyDescent="0.2">
      <c r="A3" t="s">
        <v>3</v>
      </c>
      <c r="B3" t="s">
        <v>4</v>
      </c>
      <c r="I3">
        <f>v0!K63</f>
        <v>1</v>
      </c>
      <c r="J3">
        <f>v0!L63</f>
        <v>1</v>
      </c>
      <c r="K3">
        <f>v0!M63</f>
        <v>1</v>
      </c>
      <c r="L3">
        <f>v0!N63</f>
        <v>0</v>
      </c>
      <c r="M3">
        <f>v0!O63</f>
        <v>0</v>
      </c>
      <c r="N3">
        <f>v0!P63</f>
        <v>0</v>
      </c>
      <c r="O3">
        <f>v0!Q63</f>
        <v>29</v>
      </c>
      <c r="P3">
        <f>v0!R63</f>
        <v>1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v0!K64</f>
        <v>sel pk in</v>
      </c>
      <c r="J4" t="str">
        <f>v0!L64</f>
        <v>sel pk work</v>
      </c>
      <c r="K4" t="str">
        <f>v0!M64</f>
        <v>sel pk out</v>
      </c>
      <c r="L4">
        <f>v0!N64</f>
        <v>0</v>
      </c>
      <c r="M4">
        <f>v0!O64</f>
        <v>0</v>
      </c>
      <c r="N4" t="str">
        <f>v0!P64</f>
        <v>tqitq8x8 input</v>
      </c>
      <c r="O4" t="str">
        <f>v0!Q64</f>
        <v>tqitq work</v>
      </c>
      <c r="P4" t="str">
        <f>v0!R64</f>
        <v>tqitq out</v>
      </c>
    </row>
    <row r="5" spans="1:16" x14ac:dyDescent="0.2">
      <c r="A5" t="s">
        <v>260</v>
      </c>
      <c r="B5">
        <v>0</v>
      </c>
      <c r="C5">
        <f>B5+I$19</f>
        <v>2</v>
      </c>
      <c r="D5">
        <f t="shared" ref="D5:F5" si="0">C5+J$19</f>
        <v>8</v>
      </c>
      <c r="E5">
        <f t="shared" si="0"/>
        <v>16</v>
      </c>
      <c r="F5">
        <f t="shared" si="0"/>
        <v>18</v>
      </c>
      <c r="I5">
        <f>v0!K65</f>
        <v>1</v>
      </c>
      <c r="J5">
        <f>v0!L65</f>
        <v>1</v>
      </c>
      <c r="K5">
        <f>v0!M65</f>
        <v>1</v>
      </c>
      <c r="L5">
        <f>v0!N65</f>
        <v>0</v>
      </c>
      <c r="M5">
        <f>v0!O65</f>
        <v>0</v>
      </c>
      <c r="N5">
        <f>v0!P65</f>
        <v>0</v>
      </c>
      <c r="O5">
        <f>v0!Q65</f>
        <v>18</v>
      </c>
      <c r="P5">
        <f>v0!R65</f>
        <v>1</v>
      </c>
    </row>
    <row r="6" spans="1:16" x14ac:dyDescent="0.2">
      <c r="A6" t="s">
        <v>261</v>
      </c>
      <c r="B6">
        <f>D5-2</f>
        <v>6</v>
      </c>
      <c r="C6">
        <f>B6+I$19</f>
        <v>8</v>
      </c>
      <c r="D6">
        <f t="shared" ref="D6" si="1">C6+J$19</f>
        <v>14</v>
      </c>
      <c r="E6">
        <f t="shared" ref="E6" si="2">D6+K$19</f>
        <v>22</v>
      </c>
      <c r="F6">
        <f t="shared" ref="F6" si="3">E6+L$19</f>
        <v>24</v>
      </c>
      <c r="I6" t="str">
        <f>v0!K66</f>
        <v>Yread latancy</v>
      </c>
      <c r="J6" t="str">
        <f>v0!L66</f>
        <v>32x32 input cc</v>
      </c>
      <c r="K6" t="str">
        <f>v0!M66</f>
        <v>32x32 work cc</v>
      </c>
      <c r="L6" t="str">
        <f>v0!N66</f>
        <v>32x32 output cc</v>
      </c>
      <c r="M6">
        <f>v0!O66</f>
        <v>0</v>
      </c>
      <c r="N6" t="str">
        <f>v0!P66</f>
        <v>tqitq4x4 input</v>
      </c>
      <c r="O6" t="str">
        <f>v0!Q66</f>
        <v>tqitq work</v>
      </c>
      <c r="P6" t="str">
        <f>v0!R66</f>
        <v>tqitq out</v>
      </c>
    </row>
    <row r="7" spans="1:16" x14ac:dyDescent="0.2">
      <c r="A7" t="s">
        <v>268</v>
      </c>
      <c r="C7">
        <f>F6</f>
        <v>24</v>
      </c>
      <c r="D7">
        <f>C7+N$14</f>
        <v>24</v>
      </c>
      <c r="E7">
        <f t="shared" ref="E7:F7" si="4">D7+O$14</f>
        <v>36</v>
      </c>
      <c r="F7">
        <f t="shared" si="4"/>
        <v>37</v>
      </c>
      <c r="I7">
        <f>v0!K67</f>
        <v>0</v>
      </c>
      <c r="J7">
        <f>v0!L67</f>
        <v>0</v>
      </c>
      <c r="K7">
        <f>v0!M67</f>
        <v>0</v>
      </c>
      <c r="L7">
        <f>v0!N67</f>
        <v>0</v>
      </c>
      <c r="M7">
        <f>v0!O67</f>
        <v>0</v>
      </c>
      <c r="N7">
        <v>0</v>
      </c>
      <c r="O7">
        <f>v0!Q67</f>
        <v>11</v>
      </c>
      <c r="P7">
        <f>v0!R67</f>
        <v>1</v>
      </c>
    </row>
    <row r="8" spans="1:16" x14ac:dyDescent="0.2">
      <c r="A8" t="s">
        <v>262</v>
      </c>
      <c r="C8">
        <f>F7</f>
        <v>37</v>
      </c>
      <c r="D8">
        <f>C8+I$3</f>
        <v>38</v>
      </c>
      <c r="E8">
        <f t="shared" ref="E8:F8" si="5">D8+J$3</f>
        <v>39</v>
      </c>
      <c r="F8">
        <f t="shared" si="5"/>
        <v>40</v>
      </c>
      <c r="I8" t="str">
        <f>v0!K68</f>
        <v>Yread latancy</v>
      </c>
      <c r="J8" t="str">
        <f>v0!L68</f>
        <v>16x16 input cc</v>
      </c>
      <c r="K8" t="str">
        <f>v0!M68</f>
        <v>16x16 work cc</v>
      </c>
      <c r="L8" t="str">
        <f>v0!N68</f>
        <v>16x16 output cc</v>
      </c>
      <c r="M8">
        <f>v0!O68</f>
        <v>0</v>
      </c>
      <c r="N8" t="str">
        <f>v0!P68</f>
        <v>chroma</v>
      </c>
      <c r="O8">
        <f>v0!Q68</f>
        <v>0</v>
      </c>
      <c r="P8">
        <f>v0!R68</f>
        <v>0</v>
      </c>
    </row>
    <row r="9" spans="1:16" x14ac:dyDescent="0.2">
      <c r="A9" t="s">
        <v>155</v>
      </c>
      <c r="C9">
        <f>F8</f>
        <v>40</v>
      </c>
      <c r="D9">
        <f>C9+I$5</f>
        <v>41</v>
      </c>
      <c r="E9">
        <f t="shared" ref="E9:F9" si="6">D9+J$5</f>
        <v>42</v>
      </c>
      <c r="F9">
        <f t="shared" si="6"/>
        <v>43</v>
      </c>
      <c r="I9">
        <f>v0!K69</f>
        <v>2</v>
      </c>
      <c r="J9">
        <f>v0!L69</f>
        <v>22</v>
      </c>
      <c r="K9">
        <f>v0!M69</f>
        <v>0</v>
      </c>
      <c r="L9">
        <v>24</v>
      </c>
      <c r="M9">
        <f>v0!O69</f>
        <v>0</v>
      </c>
      <c r="N9" t="str">
        <f>v0!P69</f>
        <v>tqitq16x16 input</v>
      </c>
      <c r="O9" t="str">
        <f>v0!Q69</f>
        <v>tqitq work</v>
      </c>
      <c r="P9" t="str">
        <f>v0!R69</f>
        <v>tqitq out</v>
      </c>
    </row>
    <row r="10" spans="1:16" x14ac:dyDescent="0.2">
      <c r="A10" t="s">
        <v>264</v>
      </c>
      <c r="B10">
        <f>'264PMF Y c0 round0'!B10</f>
        <v>51</v>
      </c>
      <c r="C10">
        <f>B10+I$19</f>
        <v>53</v>
      </c>
      <c r="D10">
        <f>C10+J$19</f>
        <v>59</v>
      </c>
      <c r="E10">
        <f>D10+K$19</f>
        <v>67</v>
      </c>
      <c r="F10">
        <f>E10+L$19</f>
        <v>69</v>
      </c>
      <c r="I10" t="str">
        <f>v0!K70</f>
        <v>Yread latancy</v>
      </c>
      <c r="J10" t="str">
        <f>v0!L70</f>
        <v>8x8 input cc</v>
      </c>
      <c r="K10" t="str">
        <f>v0!M70</f>
        <v>8x8 work cc</v>
      </c>
      <c r="L10" t="str">
        <f>v0!N70</f>
        <v>8x8 output cc</v>
      </c>
      <c r="M10">
        <f>v0!O70</f>
        <v>0</v>
      </c>
      <c r="N10">
        <f>v0!P70</f>
        <v>0</v>
      </c>
      <c r="O10">
        <f>v0!Q70</f>
        <v>0</v>
      </c>
      <c r="P10">
        <f>v0!R70</f>
        <v>0</v>
      </c>
    </row>
    <row r="11" spans="1:16" x14ac:dyDescent="0.2">
      <c r="A11" t="s">
        <v>265</v>
      </c>
      <c r="C11">
        <f>F10</f>
        <v>69</v>
      </c>
      <c r="D11">
        <f>C11+N$14</f>
        <v>69</v>
      </c>
      <c r="E11">
        <f t="shared" ref="E11" si="7">D11+O$14</f>
        <v>81</v>
      </c>
      <c r="F11">
        <f t="shared" ref="F11" si="8">E11+P$14</f>
        <v>82</v>
      </c>
      <c r="I11">
        <f>v0!K71</f>
        <v>2</v>
      </c>
      <c r="J11">
        <f>v0!L71</f>
        <v>7</v>
      </c>
      <c r="K11">
        <f>v0!M71</f>
        <v>6</v>
      </c>
      <c r="L11">
        <f>v0!N71</f>
        <v>4</v>
      </c>
      <c r="M11">
        <f>v0!O71</f>
        <v>0</v>
      </c>
      <c r="N11" t="str">
        <f>v0!P71</f>
        <v>tqitq8x8 input</v>
      </c>
      <c r="O11" t="str">
        <f>v0!Q71</f>
        <v>tqitq work</v>
      </c>
      <c r="P11" t="str">
        <f>v0!R71</f>
        <v>tqitq out</v>
      </c>
    </row>
    <row r="12" spans="1:16" x14ac:dyDescent="0.2">
      <c r="A12" t="s">
        <v>262</v>
      </c>
      <c r="C12">
        <f>F11</f>
        <v>82</v>
      </c>
      <c r="D12">
        <f>C12+I$3</f>
        <v>83</v>
      </c>
      <c r="E12">
        <f t="shared" ref="E12" si="9">D12+J$3</f>
        <v>84</v>
      </c>
      <c r="F12">
        <f t="shared" ref="F12" si="10">E12+K$3</f>
        <v>85</v>
      </c>
      <c r="I12" t="str">
        <f>v0!K72</f>
        <v>Yread latancy</v>
      </c>
      <c r="J12" t="str">
        <f>v0!L72</f>
        <v>4x4 input cc</v>
      </c>
      <c r="K12" t="str">
        <f>v0!M72</f>
        <v>4x4 work cc</v>
      </c>
      <c r="L12" t="str">
        <f>v0!N72</f>
        <v>4x4 output cc</v>
      </c>
      <c r="M12">
        <f>v0!O72</f>
        <v>0</v>
      </c>
      <c r="N12">
        <f>v0!P72</f>
        <v>0</v>
      </c>
      <c r="O12">
        <f>v0!Q72</f>
        <v>0</v>
      </c>
      <c r="P12">
        <f>v0!R72</f>
        <v>0</v>
      </c>
    </row>
    <row r="13" spans="1:16" x14ac:dyDescent="0.2">
      <c r="A13" t="s">
        <v>155</v>
      </c>
      <c r="C13">
        <f>F12</f>
        <v>85</v>
      </c>
      <c r="D13">
        <f>C13+I$5</f>
        <v>86</v>
      </c>
      <c r="E13">
        <f>D13+J$5</f>
        <v>87</v>
      </c>
      <c r="F13">
        <f>E13+K$5</f>
        <v>88</v>
      </c>
      <c r="I13">
        <f>v0!K73</f>
        <v>0</v>
      </c>
      <c r="J13">
        <f>v0!L73</f>
        <v>0</v>
      </c>
      <c r="K13">
        <f>v0!M73</f>
        <v>0</v>
      </c>
      <c r="L13">
        <f>v0!N73</f>
        <v>0</v>
      </c>
      <c r="M13">
        <f>v0!O73</f>
        <v>0</v>
      </c>
      <c r="N13" t="str">
        <f>v0!P73</f>
        <v>tqitq4x4 input</v>
      </c>
      <c r="O13" t="str">
        <f>v0!Q73</f>
        <v>tqitq work</v>
      </c>
      <c r="P13" t="str">
        <f>v0!R73</f>
        <v>tqitq out</v>
      </c>
    </row>
    <row r="14" spans="1:16" x14ac:dyDescent="0.2">
      <c r="A14" t="s">
        <v>266</v>
      </c>
      <c r="B14">
        <f>'264PMF Y c0 round0'!B14</f>
        <v>95</v>
      </c>
      <c r="C14">
        <f>B14+I$19</f>
        <v>97</v>
      </c>
      <c r="D14">
        <f>C14+J$19</f>
        <v>103</v>
      </c>
      <c r="E14">
        <f>D14+K$19</f>
        <v>111</v>
      </c>
      <c r="F14">
        <f>E14+L$19</f>
        <v>113</v>
      </c>
      <c r="I14" t="str">
        <f>v0!K74</f>
        <v>UVread latancy</v>
      </c>
      <c r="J14" t="str">
        <f>v0!L74</f>
        <v>16x16 input cc</v>
      </c>
      <c r="K14" t="str">
        <f>v0!M74</f>
        <v>16x16 work cc</v>
      </c>
      <c r="L14" t="str">
        <f>v0!N74</f>
        <v>16x16 output cc</v>
      </c>
      <c r="M14">
        <f>v0!O74</f>
        <v>0</v>
      </c>
      <c r="N14">
        <f>v0!P74</f>
        <v>0</v>
      </c>
      <c r="O14">
        <f>v0!Q74</f>
        <v>12</v>
      </c>
      <c r="P14">
        <f>v0!R74</f>
        <v>1</v>
      </c>
    </row>
    <row r="15" spans="1:16" x14ac:dyDescent="0.2">
      <c r="A15" t="s">
        <v>265</v>
      </c>
      <c r="C15">
        <f>F14</f>
        <v>113</v>
      </c>
      <c r="D15">
        <f>C15+N$14</f>
        <v>113</v>
      </c>
      <c r="E15">
        <f t="shared" ref="E15" si="11">D15+O$14</f>
        <v>125</v>
      </c>
      <c r="F15">
        <f t="shared" ref="F15" si="12">E15+P$14</f>
        <v>126</v>
      </c>
      <c r="I15">
        <f>v0!K75</f>
        <v>0</v>
      </c>
      <c r="J15">
        <f>v0!L75</f>
        <v>0</v>
      </c>
      <c r="K15">
        <f>v0!M75</f>
        <v>0</v>
      </c>
      <c r="L15">
        <f>v0!N75</f>
        <v>0</v>
      </c>
      <c r="M15">
        <f>v0!O75</f>
        <v>0</v>
      </c>
      <c r="N15">
        <f>v0!P75</f>
        <v>0</v>
      </c>
      <c r="O15">
        <f>v0!Q75</f>
        <v>0</v>
      </c>
      <c r="P15">
        <f>v0!R75</f>
        <v>0</v>
      </c>
    </row>
    <row r="16" spans="1:16" x14ac:dyDescent="0.2">
      <c r="A16" t="s">
        <v>262</v>
      </c>
      <c r="C16">
        <f>F15</f>
        <v>126</v>
      </c>
      <c r="D16">
        <f>C16+I$3</f>
        <v>127</v>
      </c>
      <c r="E16">
        <f t="shared" ref="E16" si="13">D16+J$3</f>
        <v>128</v>
      </c>
      <c r="F16">
        <f t="shared" ref="F16" si="14">E16+K$3</f>
        <v>129</v>
      </c>
      <c r="I16" t="str">
        <f>v0!K76</f>
        <v>UVread latancy</v>
      </c>
      <c r="J16" t="str">
        <f>v0!L76</f>
        <v>8x8 input cc</v>
      </c>
      <c r="K16" t="str">
        <f>v0!M76</f>
        <v>8x8 work cc</v>
      </c>
      <c r="L16" t="str">
        <f>v0!N76</f>
        <v>8x8 output cc</v>
      </c>
      <c r="M16">
        <f>v0!O76</f>
        <v>0</v>
      </c>
      <c r="N16">
        <f>v0!P76</f>
        <v>0</v>
      </c>
      <c r="O16">
        <f>v0!Q76</f>
        <v>0</v>
      </c>
      <c r="P16">
        <f>v0!R76</f>
        <v>0</v>
      </c>
    </row>
    <row r="17" spans="1:16" x14ac:dyDescent="0.2">
      <c r="A17" t="s">
        <v>155</v>
      </c>
      <c r="C17">
        <f>F16</f>
        <v>129</v>
      </c>
      <c r="D17">
        <f>C17+I$5</f>
        <v>130</v>
      </c>
      <c r="E17">
        <f>D17+J$5</f>
        <v>131</v>
      </c>
      <c r="F17">
        <f>E17+K$5</f>
        <v>132</v>
      </c>
      <c r="I17">
        <f>v0!K77</f>
        <v>2</v>
      </c>
      <c r="J17">
        <f>v0!L77</f>
        <v>16</v>
      </c>
      <c r="K17">
        <f>v0!M77</f>
        <v>6</v>
      </c>
      <c r="L17">
        <f>v0!N77</f>
        <v>8</v>
      </c>
      <c r="M17">
        <f>v0!O77</f>
        <v>0</v>
      </c>
      <c r="N17">
        <f>v0!P77</f>
        <v>0</v>
      </c>
      <c r="O17">
        <f>v0!Q77</f>
        <v>0</v>
      </c>
      <c r="P17">
        <f>v0!R77</f>
        <v>0</v>
      </c>
    </row>
    <row r="18" spans="1:16" x14ac:dyDescent="0.2">
      <c r="A18" t="s">
        <v>267</v>
      </c>
      <c r="B18">
        <f>'264PMF Y c0 round0'!B18</f>
        <v>139</v>
      </c>
      <c r="C18">
        <f>B18+I$19</f>
        <v>141</v>
      </c>
      <c r="D18">
        <f>C18+J$19</f>
        <v>147</v>
      </c>
      <c r="E18">
        <f>D18+K$19</f>
        <v>155</v>
      </c>
      <c r="F18">
        <f>E18+L$19</f>
        <v>157</v>
      </c>
      <c r="I18" t="str">
        <f>v0!K78</f>
        <v>UVread latancy</v>
      </c>
      <c r="J18" t="str">
        <f>v0!L78</f>
        <v>4x4 input cc</v>
      </c>
      <c r="K18" t="str">
        <f>v0!M78</f>
        <v>4x4 work cc</v>
      </c>
      <c r="L18" t="str">
        <f>v0!N78</f>
        <v>4x4 output cc</v>
      </c>
      <c r="M18">
        <f>v0!O78</f>
        <v>0</v>
      </c>
      <c r="N18">
        <f>v0!P78</f>
        <v>0</v>
      </c>
      <c r="O18">
        <f>v0!Q78</f>
        <v>0</v>
      </c>
      <c r="P18">
        <f>v0!R78</f>
        <v>0</v>
      </c>
    </row>
    <row r="19" spans="1:16" x14ac:dyDescent="0.2">
      <c r="A19" t="s">
        <v>265</v>
      </c>
      <c r="C19">
        <f>F18</f>
        <v>157</v>
      </c>
      <c r="D19">
        <f>C19+N$14</f>
        <v>157</v>
      </c>
      <c r="E19">
        <f t="shared" ref="E19" si="15">D19+O$14</f>
        <v>169</v>
      </c>
      <c r="F19">
        <f t="shared" ref="F19" si="16">E19+P$14</f>
        <v>170</v>
      </c>
      <c r="I19">
        <f>v0!K79</f>
        <v>2</v>
      </c>
      <c r="J19">
        <f>v0!L79</f>
        <v>6</v>
      </c>
      <c r="K19">
        <f>v0!M79</f>
        <v>8</v>
      </c>
      <c r="L19">
        <f>v0!N79</f>
        <v>2</v>
      </c>
      <c r="M19">
        <f>v0!O79</f>
        <v>0</v>
      </c>
      <c r="N19">
        <f>v0!P79</f>
        <v>0</v>
      </c>
      <c r="O19">
        <f>v0!Q79</f>
        <v>0</v>
      </c>
      <c r="P19">
        <f>v0!R79</f>
        <v>0</v>
      </c>
    </row>
    <row r="20" spans="1:16" x14ac:dyDescent="0.2">
      <c r="A20" t="s">
        <v>262</v>
      </c>
      <c r="C20">
        <f>F19</f>
        <v>170</v>
      </c>
      <c r="D20">
        <f>C20+I$3</f>
        <v>171</v>
      </c>
      <c r="E20">
        <f t="shared" ref="E20" si="17">D20+J$3</f>
        <v>172</v>
      </c>
      <c r="F20">
        <f t="shared" ref="F20" si="18">E20+K$3</f>
        <v>173</v>
      </c>
      <c r="I20">
        <f>v0!K80</f>
        <v>0</v>
      </c>
      <c r="J20">
        <f>v0!L80</f>
        <v>0</v>
      </c>
      <c r="K20">
        <f>v0!M80</f>
        <v>0</v>
      </c>
      <c r="L20">
        <f>v0!N80</f>
        <v>0</v>
      </c>
      <c r="M20">
        <f>v0!O80</f>
        <v>0</v>
      </c>
      <c r="N20">
        <f>v0!P80</f>
        <v>0</v>
      </c>
      <c r="O20">
        <f>v0!Q80</f>
        <v>0</v>
      </c>
      <c r="P20">
        <f>v0!R80</f>
        <v>0</v>
      </c>
    </row>
    <row r="21" spans="1:16" x14ac:dyDescent="0.2">
      <c r="A21" t="s">
        <v>155</v>
      </c>
      <c r="C21">
        <f>F20</f>
        <v>173</v>
      </c>
      <c r="D21">
        <f>C21+I$5</f>
        <v>174</v>
      </c>
      <c r="E21">
        <f>D21+J$5</f>
        <v>175</v>
      </c>
      <c r="F21">
        <f>E21+K$5</f>
        <v>176</v>
      </c>
      <c r="I21">
        <f>v0!K81</f>
        <v>0</v>
      </c>
      <c r="J21">
        <f>v0!L81</f>
        <v>0</v>
      </c>
      <c r="K21">
        <f>v0!M81</f>
        <v>0</v>
      </c>
      <c r="L21">
        <f>v0!N81</f>
        <v>0</v>
      </c>
      <c r="M21">
        <f>v0!O81</f>
        <v>0</v>
      </c>
      <c r="N21">
        <f>v0!P81</f>
        <v>0</v>
      </c>
      <c r="O21">
        <f>v0!Q81</f>
        <v>0</v>
      </c>
      <c r="P21">
        <f>v0!R81</f>
        <v>0</v>
      </c>
    </row>
    <row r="22" spans="1:16" x14ac:dyDescent="0.2">
      <c r="A22" t="s">
        <v>151</v>
      </c>
      <c r="B22">
        <f>D6-2</f>
        <v>12</v>
      </c>
      <c r="C22">
        <f>B22+I$19</f>
        <v>14</v>
      </c>
      <c r="D22">
        <f>C22+J$19</f>
        <v>20</v>
      </c>
      <c r="E22">
        <f>D22+K$19</f>
        <v>28</v>
      </c>
      <c r="F22">
        <f>E22+L$19</f>
        <v>30</v>
      </c>
      <c r="I22">
        <f>v0!K82</f>
        <v>0</v>
      </c>
      <c r="J22">
        <f>v0!L82</f>
        <v>0</v>
      </c>
      <c r="K22">
        <f>v0!M82</f>
        <v>0</v>
      </c>
      <c r="L22">
        <f>v0!N82</f>
        <v>0</v>
      </c>
      <c r="M22">
        <f>v0!O82</f>
        <v>0</v>
      </c>
      <c r="N22">
        <f>v0!P82</f>
        <v>0</v>
      </c>
      <c r="O22">
        <f>v0!Q82</f>
        <v>0</v>
      </c>
      <c r="P22">
        <f>v0!R82</f>
        <v>0</v>
      </c>
    </row>
    <row r="23" spans="1:16" x14ac:dyDescent="0.2">
      <c r="A23" t="s">
        <v>152</v>
      </c>
      <c r="B23">
        <f>B14-J19</f>
        <v>89</v>
      </c>
      <c r="C23">
        <f>B23+I$19</f>
        <v>91</v>
      </c>
      <c r="D23">
        <f>C23+J$19</f>
        <v>97</v>
      </c>
      <c r="E23">
        <f>D23+K$19</f>
        <v>105</v>
      </c>
      <c r="F23">
        <f>E23+L$19</f>
        <v>107</v>
      </c>
      <c r="I23">
        <f>v0!K83</f>
        <v>0</v>
      </c>
      <c r="J23">
        <f>v0!L83</f>
        <v>0</v>
      </c>
      <c r="K23">
        <f>v0!M83</f>
        <v>0</v>
      </c>
      <c r="L23">
        <f>v0!N83</f>
        <v>0</v>
      </c>
      <c r="M23">
        <f>v0!O83</f>
        <v>0</v>
      </c>
      <c r="N23">
        <f>v0!P83</f>
        <v>0</v>
      </c>
      <c r="O23">
        <f>v0!Q83</f>
        <v>0</v>
      </c>
      <c r="P23">
        <f>v0!R83</f>
        <v>0</v>
      </c>
    </row>
    <row r="24" spans="1:16" x14ac:dyDescent="0.2">
      <c r="A24" t="s">
        <v>269</v>
      </c>
      <c r="B24">
        <f>B18-J19</f>
        <v>133</v>
      </c>
      <c r="C24">
        <f>B24+I$19</f>
        <v>135</v>
      </c>
      <c r="D24">
        <f>C24+J$19</f>
        <v>141</v>
      </c>
      <c r="E24">
        <f>D24+K$19</f>
        <v>149</v>
      </c>
      <c r="F24">
        <f>E24+L$19</f>
        <v>151</v>
      </c>
      <c r="I24">
        <f>v0!K84</f>
        <v>0</v>
      </c>
      <c r="J24">
        <f>v0!L84</f>
        <v>0</v>
      </c>
      <c r="K24">
        <f>v0!M84</f>
        <v>0</v>
      </c>
      <c r="L24">
        <f>v0!N84</f>
        <v>0</v>
      </c>
      <c r="M24">
        <f>v0!O84</f>
        <v>0</v>
      </c>
      <c r="N24">
        <f>v0!P84</f>
        <v>0</v>
      </c>
      <c r="O24">
        <f>v0!Q84</f>
        <v>0</v>
      </c>
      <c r="P24">
        <f>v0!R84</f>
        <v>0</v>
      </c>
    </row>
    <row r="25" spans="1:16" x14ac:dyDescent="0.2">
      <c r="I25">
        <f>v0!K85</f>
        <v>0</v>
      </c>
      <c r="J25">
        <f>v0!L85</f>
        <v>0</v>
      </c>
      <c r="K25">
        <f>v0!M85</f>
        <v>0</v>
      </c>
      <c r="L25">
        <f>v0!N85</f>
        <v>0</v>
      </c>
      <c r="M25">
        <f>v0!O85</f>
        <v>0</v>
      </c>
      <c r="N25">
        <f>v0!P85</f>
        <v>0</v>
      </c>
      <c r="O25">
        <f>v0!Q85</f>
        <v>0</v>
      </c>
      <c r="P25">
        <f>v0!R85</f>
        <v>0</v>
      </c>
    </row>
    <row r="26" spans="1:16" x14ac:dyDescent="0.2">
      <c r="I26">
        <f>v0!K86</f>
        <v>0</v>
      </c>
      <c r="J26">
        <f>v0!L86</f>
        <v>0</v>
      </c>
      <c r="K26">
        <f>v0!M86</f>
        <v>0</v>
      </c>
      <c r="L26">
        <f>v0!N86</f>
        <v>0</v>
      </c>
      <c r="M26">
        <f>v0!O86</f>
        <v>0</v>
      </c>
      <c r="N26">
        <f>v0!P86</f>
        <v>0</v>
      </c>
      <c r="O26">
        <f>v0!Q86</f>
        <v>0</v>
      </c>
      <c r="P26">
        <f>v0!R86</f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CD4-0F23-4B5D-858D-80243844B2B7}">
  <dimension ref="A1:P26"/>
  <sheetViews>
    <sheetView workbookViewId="0">
      <selection activeCell="A7" sqref="A7:F1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263</v>
      </c>
      <c r="I1" t="str">
        <f>v0!K61</f>
        <v>H264</v>
      </c>
      <c r="J1">
        <f>v0!L61</f>
        <v>0</v>
      </c>
      <c r="K1">
        <f>v0!M61</f>
        <v>0</v>
      </c>
      <c r="L1">
        <f>v0!N61</f>
        <v>0</v>
      </c>
      <c r="M1">
        <f>v0!O61</f>
        <v>0</v>
      </c>
      <c r="N1">
        <f>v0!P61</f>
        <v>0</v>
      </c>
      <c r="O1">
        <f>v0!Q61</f>
        <v>0</v>
      </c>
      <c r="P1">
        <f>v0!R61</f>
        <v>0</v>
      </c>
    </row>
    <row r="2" spans="1:16" x14ac:dyDescent="0.2">
      <c r="A2" t="s">
        <v>1</v>
      </c>
      <c r="B2" t="s">
        <v>2</v>
      </c>
      <c r="I2" t="str">
        <f>v0!K62</f>
        <v>inter pk in</v>
      </c>
      <c r="J2" t="str">
        <f>v0!L62</f>
        <v>inter pk work</v>
      </c>
      <c r="K2" t="str">
        <f>v0!M62</f>
        <v>inter pk out</v>
      </c>
      <c r="L2">
        <f>v0!N62</f>
        <v>0</v>
      </c>
      <c r="M2">
        <f>v0!O62</f>
        <v>0</v>
      </c>
      <c r="N2" t="str">
        <f>v0!P62</f>
        <v>tqitq16x16 input</v>
      </c>
      <c r="O2" t="str">
        <f>v0!Q62</f>
        <v>tqitq work</v>
      </c>
      <c r="P2" t="str">
        <f>v0!R62</f>
        <v>tqitq out</v>
      </c>
    </row>
    <row r="3" spans="1:16" x14ac:dyDescent="0.2">
      <c r="A3" t="s">
        <v>3</v>
      </c>
      <c r="B3" t="s">
        <v>4</v>
      </c>
      <c r="I3">
        <f>v0!K63</f>
        <v>1</v>
      </c>
      <c r="J3">
        <f>v0!L63</f>
        <v>1</v>
      </c>
      <c r="K3">
        <f>v0!M63</f>
        <v>1</v>
      </c>
      <c r="L3">
        <f>v0!N63</f>
        <v>0</v>
      </c>
      <c r="M3">
        <f>v0!O63</f>
        <v>0</v>
      </c>
      <c r="N3">
        <f>v0!P63</f>
        <v>0</v>
      </c>
      <c r="O3">
        <f>v0!Q63</f>
        <v>29</v>
      </c>
      <c r="P3">
        <f>v0!R63</f>
        <v>1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v0!K64</f>
        <v>sel pk in</v>
      </c>
      <c r="J4" t="str">
        <f>v0!L64</f>
        <v>sel pk work</v>
      </c>
      <c r="K4" t="str">
        <f>v0!M64</f>
        <v>sel pk out</v>
      </c>
      <c r="L4">
        <f>v0!N64</f>
        <v>0</v>
      </c>
      <c r="M4">
        <f>v0!O64</f>
        <v>0</v>
      </c>
      <c r="N4" t="str">
        <f>v0!P64</f>
        <v>tqitq8x8 input</v>
      </c>
      <c r="O4" t="str">
        <f>v0!Q64</f>
        <v>tqitq work</v>
      </c>
      <c r="P4" t="str">
        <f>v0!R64</f>
        <v>tqitq out</v>
      </c>
    </row>
    <row r="5" spans="1:16" x14ac:dyDescent="0.2">
      <c r="A5" t="s">
        <v>220</v>
      </c>
      <c r="B5" s="64">
        <v>0</v>
      </c>
      <c r="C5">
        <f>B5+I17</f>
        <v>2</v>
      </c>
      <c r="D5">
        <f t="shared" ref="D5:F5" si="0">C5+J17</f>
        <v>20</v>
      </c>
      <c r="E5">
        <f>D5+K17+4</f>
        <v>30</v>
      </c>
      <c r="I5">
        <f>v0!K65</f>
        <v>1</v>
      </c>
      <c r="J5">
        <f>v0!L65</f>
        <v>1</v>
      </c>
      <c r="K5">
        <f>v0!M65</f>
        <v>1</v>
      </c>
      <c r="L5">
        <f>v0!N65</f>
        <v>0</v>
      </c>
      <c r="M5">
        <f>v0!O65</f>
        <v>0</v>
      </c>
      <c r="N5">
        <f>v0!P65</f>
        <v>0</v>
      </c>
      <c r="O5">
        <f>v0!Q65</f>
        <v>18</v>
      </c>
      <c r="P5">
        <f>v0!R65</f>
        <v>1</v>
      </c>
    </row>
    <row r="6" spans="1:16" x14ac:dyDescent="0.2">
      <c r="A6" t="s">
        <v>221</v>
      </c>
      <c r="B6" s="64">
        <f>D5-2</f>
        <v>18</v>
      </c>
      <c r="C6">
        <f>B6+I17</f>
        <v>20</v>
      </c>
      <c r="D6">
        <f t="shared" ref="D6:F6" si="1">C6+J17</f>
        <v>38</v>
      </c>
      <c r="E6">
        <f t="shared" si="1"/>
        <v>44</v>
      </c>
      <c r="I6" t="str">
        <f>v0!K66</f>
        <v>Yread latancy</v>
      </c>
      <c r="J6" t="str">
        <f>v0!L66</f>
        <v>32x32 input cc</v>
      </c>
      <c r="K6" t="str">
        <f>v0!M66</f>
        <v>32x32 work cc</v>
      </c>
      <c r="L6" t="str">
        <f>v0!N66</f>
        <v>32x32 output cc</v>
      </c>
      <c r="M6">
        <f>v0!O66</f>
        <v>0</v>
      </c>
      <c r="N6" t="str">
        <f>v0!P66</f>
        <v>tqitq4x4 input</v>
      </c>
      <c r="O6" t="str">
        <f>v0!Q66</f>
        <v>tqitq work</v>
      </c>
      <c r="P6" t="str">
        <f>v0!R66</f>
        <v>tqitq out</v>
      </c>
    </row>
    <row r="7" spans="1:16" x14ac:dyDescent="0.2">
      <c r="A7" t="s">
        <v>240</v>
      </c>
      <c r="B7" s="64"/>
      <c r="E7">
        <f>E5+1</f>
        <v>31</v>
      </c>
      <c r="F7">
        <f>E7+2</f>
        <v>33</v>
      </c>
      <c r="I7">
        <f>v0!K67</f>
        <v>0</v>
      </c>
      <c r="J7">
        <f>v0!L67</f>
        <v>0</v>
      </c>
      <c r="K7">
        <f>v0!M67</f>
        <v>0</v>
      </c>
      <c r="L7">
        <f>v0!N67</f>
        <v>0</v>
      </c>
      <c r="M7">
        <f>v0!O67</f>
        <v>0</v>
      </c>
      <c r="N7">
        <f>v0!P67</f>
        <v>0</v>
      </c>
      <c r="O7">
        <f>v0!Q67</f>
        <v>11</v>
      </c>
      <c r="P7">
        <f>v0!R67</f>
        <v>1</v>
      </c>
    </row>
    <row r="8" spans="1:16" x14ac:dyDescent="0.2">
      <c r="A8" t="s">
        <v>244</v>
      </c>
      <c r="B8" s="64"/>
      <c r="E8">
        <f>F7</f>
        <v>33</v>
      </c>
      <c r="F8">
        <f t="shared" ref="F8:F9" si="2">E8+2</f>
        <v>35</v>
      </c>
      <c r="I8" t="str">
        <f>v0!K68</f>
        <v>Yread latancy</v>
      </c>
      <c r="J8" t="str">
        <f>v0!L68</f>
        <v>16x16 input cc</v>
      </c>
      <c r="K8" t="str">
        <f>v0!M68</f>
        <v>16x16 work cc</v>
      </c>
      <c r="L8" t="str">
        <f>v0!N68</f>
        <v>16x16 output cc</v>
      </c>
      <c r="M8">
        <f>v0!O68</f>
        <v>0</v>
      </c>
      <c r="N8" t="str">
        <f>v0!P68</f>
        <v>chroma</v>
      </c>
      <c r="O8">
        <f>v0!Q68</f>
        <v>0</v>
      </c>
      <c r="P8">
        <f>v0!R68</f>
        <v>0</v>
      </c>
    </row>
    <row r="9" spans="1:16" x14ac:dyDescent="0.2">
      <c r="A9" t="s">
        <v>245</v>
      </c>
      <c r="B9" s="64"/>
      <c r="E9">
        <f t="shared" ref="E9:E14" si="3">F8</f>
        <v>35</v>
      </c>
      <c r="F9">
        <f t="shared" si="2"/>
        <v>37</v>
      </c>
      <c r="I9">
        <f>v0!K69</f>
        <v>2</v>
      </c>
      <c r="J9">
        <f>v0!L69</f>
        <v>22</v>
      </c>
      <c r="K9">
        <f>v0!M69</f>
        <v>0</v>
      </c>
      <c r="L9">
        <v>24</v>
      </c>
      <c r="M9">
        <f>v0!O69</f>
        <v>0</v>
      </c>
      <c r="N9" t="str">
        <f>v0!P69</f>
        <v>tqitq16x16 input</v>
      </c>
      <c r="O9" t="str">
        <f>v0!Q69</f>
        <v>tqitq work</v>
      </c>
      <c r="P9" t="str">
        <f>v0!R69</f>
        <v>tqitq out</v>
      </c>
    </row>
    <row r="10" spans="1:16" x14ac:dyDescent="0.2">
      <c r="A10" t="s">
        <v>246</v>
      </c>
      <c r="B10" s="64"/>
      <c r="E10">
        <f t="shared" si="3"/>
        <v>37</v>
      </c>
      <c r="F10">
        <f>E10+4</f>
        <v>41</v>
      </c>
      <c r="I10" t="str">
        <f>v0!K70</f>
        <v>Yread latancy</v>
      </c>
      <c r="J10" t="str">
        <f>v0!L70</f>
        <v>8x8 input cc</v>
      </c>
      <c r="K10" t="str">
        <f>v0!M70</f>
        <v>8x8 work cc</v>
      </c>
      <c r="L10" t="str">
        <f>v0!N70</f>
        <v>8x8 output cc</v>
      </c>
      <c r="M10">
        <f>v0!O70</f>
        <v>0</v>
      </c>
      <c r="N10">
        <f>v0!P70</f>
        <v>0</v>
      </c>
      <c r="O10">
        <f>v0!Q70</f>
        <v>0</v>
      </c>
      <c r="P10">
        <f>v0!R70</f>
        <v>0</v>
      </c>
    </row>
    <row r="11" spans="1:16" x14ac:dyDescent="0.2">
      <c r="A11" t="s">
        <v>242</v>
      </c>
      <c r="B11" s="64"/>
      <c r="E11">
        <f>E6+1</f>
        <v>45</v>
      </c>
      <c r="F11">
        <f>E11+2</f>
        <v>47</v>
      </c>
      <c r="I11">
        <f>v0!K71</f>
        <v>2</v>
      </c>
      <c r="J11">
        <f>v0!L71</f>
        <v>7</v>
      </c>
      <c r="K11">
        <f>v0!M71</f>
        <v>6</v>
      </c>
      <c r="L11">
        <f>v0!N71</f>
        <v>4</v>
      </c>
      <c r="M11">
        <f>v0!O71</f>
        <v>0</v>
      </c>
      <c r="N11" t="str">
        <f>v0!P71</f>
        <v>tqitq8x8 input</v>
      </c>
      <c r="O11" t="str">
        <f>v0!Q71</f>
        <v>tqitq work</v>
      </c>
      <c r="P11" t="str">
        <f>v0!R71</f>
        <v>tqitq out</v>
      </c>
    </row>
    <row r="12" spans="1:16" x14ac:dyDescent="0.2">
      <c r="A12" t="s">
        <v>247</v>
      </c>
      <c r="B12" s="64"/>
      <c r="E12">
        <f t="shared" si="3"/>
        <v>47</v>
      </c>
      <c r="F12">
        <f t="shared" ref="F12:F13" si="4">E12+2</f>
        <v>49</v>
      </c>
      <c r="I12" t="str">
        <f>v0!K72</f>
        <v>Yread latancy</v>
      </c>
      <c r="J12" t="str">
        <f>v0!L72</f>
        <v>4x4 input cc</v>
      </c>
      <c r="K12" t="str">
        <f>v0!M72</f>
        <v>4x4 work cc</v>
      </c>
      <c r="L12" t="str">
        <f>v0!N72</f>
        <v>4x4 output cc</v>
      </c>
      <c r="M12">
        <f>v0!O72</f>
        <v>0</v>
      </c>
      <c r="N12">
        <f>v0!P72</f>
        <v>0</v>
      </c>
      <c r="O12">
        <f>v0!Q72</f>
        <v>0</v>
      </c>
      <c r="P12">
        <f>v0!R72</f>
        <v>0</v>
      </c>
    </row>
    <row r="13" spans="1:16" x14ac:dyDescent="0.2">
      <c r="A13" t="s">
        <v>248</v>
      </c>
      <c r="B13" s="64"/>
      <c r="E13">
        <f t="shared" si="3"/>
        <v>49</v>
      </c>
      <c r="F13">
        <f t="shared" si="4"/>
        <v>51</v>
      </c>
      <c r="I13">
        <f>v0!K73</f>
        <v>0</v>
      </c>
      <c r="J13">
        <f>v0!L73</f>
        <v>0</v>
      </c>
      <c r="K13">
        <f>v0!M73</f>
        <v>0</v>
      </c>
      <c r="L13">
        <f>v0!N73</f>
        <v>0</v>
      </c>
      <c r="M13">
        <f>v0!O73</f>
        <v>0</v>
      </c>
      <c r="N13" t="str">
        <f>v0!P73</f>
        <v>tqitq4x4 input</v>
      </c>
      <c r="O13" t="str">
        <f>v0!Q73</f>
        <v>tqitq work</v>
      </c>
      <c r="P13" t="str">
        <f>v0!R73</f>
        <v>tqitq out</v>
      </c>
    </row>
    <row r="14" spans="1:16" x14ac:dyDescent="0.2">
      <c r="A14" t="s">
        <v>249</v>
      </c>
      <c r="E14">
        <f t="shared" si="3"/>
        <v>51</v>
      </c>
      <c r="F14">
        <f>E14+4</f>
        <v>55</v>
      </c>
      <c r="I14" t="str">
        <f>v0!K74</f>
        <v>UVread latancy</v>
      </c>
      <c r="J14" t="str">
        <f>v0!L74</f>
        <v>16x16 input cc</v>
      </c>
      <c r="K14" t="str">
        <f>v0!M74</f>
        <v>16x16 work cc</v>
      </c>
      <c r="L14" t="str">
        <f>v0!N74</f>
        <v>16x16 output cc</v>
      </c>
      <c r="M14">
        <f>v0!O74</f>
        <v>0</v>
      </c>
      <c r="N14">
        <f>v0!P74</f>
        <v>0</v>
      </c>
      <c r="O14">
        <f>v0!Q74</f>
        <v>12</v>
      </c>
      <c r="P14">
        <f>v0!R74</f>
        <v>1</v>
      </c>
    </row>
    <row r="15" spans="1:16" x14ac:dyDescent="0.2">
      <c r="I15">
        <f>v0!K75</f>
        <v>0</v>
      </c>
      <c r="J15">
        <f>v0!L75</f>
        <v>0</v>
      </c>
      <c r="K15">
        <f>v0!M75</f>
        <v>0</v>
      </c>
      <c r="L15">
        <f>v0!N75</f>
        <v>0</v>
      </c>
      <c r="M15">
        <f>v0!O75</f>
        <v>0</v>
      </c>
      <c r="N15">
        <f>v0!P75</f>
        <v>0</v>
      </c>
      <c r="O15">
        <f>v0!Q75</f>
        <v>0</v>
      </c>
      <c r="P15">
        <f>v0!R75</f>
        <v>0</v>
      </c>
    </row>
    <row r="16" spans="1:16" x14ac:dyDescent="0.2">
      <c r="I16" t="str">
        <f>v0!K76</f>
        <v>UVread latancy</v>
      </c>
      <c r="J16" t="str">
        <f>v0!L76</f>
        <v>8x8 input cc</v>
      </c>
      <c r="K16" t="str">
        <f>v0!M76</f>
        <v>8x8 work cc</v>
      </c>
      <c r="L16" t="str">
        <f>v0!N76</f>
        <v>8x8 output cc</v>
      </c>
      <c r="M16">
        <f>v0!O76</f>
        <v>0</v>
      </c>
      <c r="N16">
        <f>v0!P76</f>
        <v>0</v>
      </c>
      <c r="O16">
        <f>v0!Q76</f>
        <v>0</v>
      </c>
      <c r="P16">
        <f>v0!R76</f>
        <v>0</v>
      </c>
    </row>
    <row r="17" spans="9:16" x14ac:dyDescent="0.2">
      <c r="I17">
        <f>v0!K77</f>
        <v>2</v>
      </c>
      <c r="J17">
        <v>18</v>
      </c>
      <c r="K17">
        <f>v0!M77</f>
        <v>6</v>
      </c>
      <c r="L17">
        <f>v0!N77</f>
        <v>8</v>
      </c>
      <c r="M17">
        <f>v0!O77</f>
        <v>0</v>
      </c>
      <c r="N17">
        <f>v0!P77</f>
        <v>0</v>
      </c>
      <c r="O17">
        <f>v0!Q77</f>
        <v>0</v>
      </c>
      <c r="P17">
        <f>v0!R77</f>
        <v>0</v>
      </c>
    </row>
    <row r="18" spans="9:16" x14ac:dyDescent="0.2">
      <c r="I18" t="str">
        <f>v0!K78</f>
        <v>UVread latancy</v>
      </c>
      <c r="J18" t="str">
        <f>v0!L78</f>
        <v>4x4 input cc</v>
      </c>
      <c r="K18" t="str">
        <f>v0!M78</f>
        <v>4x4 work cc</v>
      </c>
      <c r="L18" t="str">
        <f>v0!N78</f>
        <v>4x4 output cc</v>
      </c>
      <c r="M18">
        <f>v0!O78</f>
        <v>0</v>
      </c>
      <c r="N18">
        <f>v0!P78</f>
        <v>0</v>
      </c>
      <c r="O18">
        <f>v0!Q78</f>
        <v>0</v>
      </c>
      <c r="P18">
        <f>v0!R78</f>
        <v>0</v>
      </c>
    </row>
    <row r="19" spans="9:16" x14ac:dyDescent="0.2">
      <c r="I19">
        <f>v0!K79</f>
        <v>2</v>
      </c>
      <c r="J19">
        <f>v0!L79</f>
        <v>6</v>
      </c>
      <c r="K19">
        <f>v0!M79</f>
        <v>8</v>
      </c>
      <c r="L19">
        <f>v0!N79</f>
        <v>2</v>
      </c>
      <c r="M19">
        <f>v0!O79</f>
        <v>0</v>
      </c>
      <c r="N19">
        <f>v0!P79</f>
        <v>0</v>
      </c>
      <c r="O19">
        <f>v0!Q79</f>
        <v>0</v>
      </c>
      <c r="P19">
        <f>v0!R79</f>
        <v>0</v>
      </c>
    </row>
    <row r="20" spans="9:16" x14ac:dyDescent="0.2">
      <c r="I20">
        <f>v0!K80</f>
        <v>0</v>
      </c>
      <c r="J20">
        <f>v0!L80</f>
        <v>0</v>
      </c>
      <c r="K20">
        <f>v0!M80</f>
        <v>0</v>
      </c>
      <c r="L20">
        <f>v0!N80</f>
        <v>0</v>
      </c>
      <c r="M20">
        <f>v0!O80</f>
        <v>0</v>
      </c>
      <c r="N20">
        <f>v0!P80</f>
        <v>0</v>
      </c>
      <c r="O20">
        <f>v0!Q80</f>
        <v>0</v>
      </c>
      <c r="P20">
        <f>v0!R80</f>
        <v>0</v>
      </c>
    </row>
    <row r="21" spans="9:16" x14ac:dyDescent="0.2">
      <c r="I21">
        <f>v0!K81</f>
        <v>0</v>
      </c>
      <c r="J21">
        <f>v0!L81</f>
        <v>0</v>
      </c>
      <c r="K21">
        <f>v0!M81</f>
        <v>0</v>
      </c>
      <c r="L21">
        <f>v0!N81</f>
        <v>0</v>
      </c>
      <c r="M21">
        <f>v0!O81</f>
        <v>0</v>
      </c>
      <c r="N21">
        <f>v0!P81</f>
        <v>0</v>
      </c>
      <c r="O21">
        <f>v0!Q81</f>
        <v>0</v>
      </c>
      <c r="P21">
        <f>v0!R81</f>
        <v>0</v>
      </c>
    </row>
    <row r="22" spans="9:16" x14ac:dyDescent="0.2">
      <c r="I22">
        <f>v0!K82</f>
        <v>0</v>
      </c>
      <c r="J22">
        <f>v0!L82</f>
        <v>0</v>
      </c>
      <c r="K22">
        <f>v0!M82</f>
        <v>0</v>
      </c>
      <c r="L22">
        <f>v0!N82</f>
        <v>0</v>
      </c>
      <c r="M22">
        <f>v0!O82</f>
        <v>0</v>
      </c>
      <c r="N22">
        <f>v0!P82</f>
        <v>0</v>
      </c>
      <c r="O22">
        <f>v0!Q82</f>
        <v>0</v>
      </c>
      <c r="P22">
        <f>v0!R82</f>
        <v>0</v>
      </c>
    </row>
    <row r="23" spans="9:16" x14ac:dyDescent="0.2">
      <c r="I23">
        <f>v0!K83</f>
        <v>0</v>
      </c>
      <c r="J23">
        <f>v0!L83</f>
        <v>0</v>
      </c>
      <c r="K23">
        <f>v0!M83</f>
        <v>0</v>
      </c>
      <c r="L23">
        <f>v0!N83</f>
        <v>0</v>
      </c>
      <c r="M23">
        <f>v0!O83</f>
        <v>0</v>
      </c>
      <c r="N23">
        <f>v0!P83</f>
        <v>0</v>
      </c>
      <c r="O23">
        <f>v0!Q83</f>
        <v>0</v>
      </c>
      <c r="P23">
        <f>v0!R83</f>
        <v>0</v>
      </c>
    </row>
    <row r="24" spans="9:16" x14ac:dyDescent="0.2">
      <c r="I24">
        <f>v0!K84</f>
        <v>0</v>
      </c>
      <c r="J24">
        <f>v0!L84</f>
        <v>0</v>
      </c>
      <c r="K24">
        <f>v0!M84</f>
        <v>0</v>
      </c>
      <c r="L24">
        <f>v0!N84</f>
        <v>0</v>
      </c>
      <c r="M24">
        <f>v0!O84</f>
        <v>0</v>
      </c>
      <c r="N24">
        <f>v0!P84</f>
        <v>0</v>
      </c>
      <c r="O24">
        <f>v0!Q84</f>
        <v>0</v>
      </c>
      <c r="P24">
        <f>v0!R84</f>
        <v>0</v>
      </c>
    </row>
    <row r="25" spans="9:16" x14ac:dyDescent="0.2">
      <c r="I25">
        <f>v0!K85</f>
        <v>0</v>
      </c>
      <c r="J25">
        <f>v0!L85</f>
        <v>0</v>
      </c>
      <c r="K25">
        <f>v0!M85</f>
        <v>0</v>
      </c>
      <c r="L25">
        <f>v0!N85</f>
        <v>0</v>
      </c>
      <c r="M25">
        <f>v0!O85</f>
        <v>0</v>
      </c>
      <c r="N25">
        <f>v0!P85</f>
        <v>0</v>
      </c>
      <c r="O25">
        <f>v0!Q85</f>
        <v>0</v>
      </c>
      <c r="P25">
        <f>v0!R85</f>
        <v>0</v>
      </c>
    </row>
    <row r="26" spans="9:16" x14ac:dyDescent="0.2">
      <c r="I26">
        <f>v0!K86</f>
        <v>0</v>
      </c>
      <c r="J26">
        <f>v0!L86</f>
        <v>0</v>
      </c>
      <c r="K26">
        <f>v0!M86</f>
        <v>0</v>
      </c>
      <c r="L26">
        <f>v0!N86</f>
        <v>0</v>
      </c>
      <c r="M26">
        <f>v0!O86</f>
        <v>0</v>
      </c>
      <c r="N26">
        <f>v0!P86</f>
        <v>0</v>
      </c>
      <c r="O26">
        <f>v0!Q86</f>
        <v>0</v>
      </c>
      <c r="P26">
        <f>v0!R86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D03-BF78-46BE-832D-3A5B174965E9}">
  <dimension ref="A1:AB34"/>
  <sheetViews>
    <sheetView workbookViewId="0">
      <selection activeCell="E31" sqref="E31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163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v0!A70</f>
        <v>Yread latancy</v>
      </c>
      <c r="Q1" t="str">
        <f>v0!B70</f>
        <v>8x8 input cc</v>
      </c>
      <c r="R1" t="str">
        <f>v0!C70</f>
        <v>8x8 work cc</v>
      </c>
      <c r="S1" t="str">
        <f>v0!D70</f>
        <v>8x8 output cc</v>
      </c>
      <c r="U1" t="str">
        <f>v0!G62</f>
        <v>tqitq8x8 input</v>
      </c>
      <c r="V1" t="str">
        <f>v0!H62</f>
        <v>tqitq work</v>
      </c>
      <c r="W1" t="str">
        <f>v0!I62</f>
        <v>tqitq out</v>
      </c>
      <c r="Y1" t="str">
        <f>v0!A68</f>
        <v>Yread latancy</v>
      </c>
      <c r="Z1" t="str">
        <f>v0!B68</f>
        <v>16x16 input cc</v>
      </c>
      <c r="AA1" t="str">
        <f>v0!C68</f>
        <v>16x16 work cc</v>
      </c>
      <c r="AB1" t="str">
        <f>v0!D68</f>
        <v>16x16 output cc</v>
      </c>
    </row>
    <row r="2" spans="1:28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v0!A71</f>
        <v>2</v>
      </c>
      <c r="Q2">
        <f>v0!B71</f>
        <v>8</v>
      </c>
      <c r="R2">
        <f>v0!C71</f>
        <v>4</v>
      </c>
      <c r="S2">
        <f>v0!D71</f>
        <v>4</v>
      </c>
      <c r="U2">
        <f>v0!G63</f>
        <v>4</v>
      </c>
      <c r="V2">
        <f>v0!H63</f>
        <v>23</v>
      </c>
      <c r="W2">
        <f>v0!I63</f>
        <v>1</v>
      </c>
      <c r="Y2">
        <f>v0!A69</f>
        <v>2</v>
      </c>
      <c r="Z2">
        <f>v0!B69</f>
        <v>23</v>
      </c>
      <c r="AA2">
        <f>v0!C69</f>
        <v>-8</v>
      </c>
      <c r="AB2">
        <f>v0!D69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0</v>
      </c>
      <c r="C5">
        <f>B5+$P$2</f>
        <v>2</v>
      </c>
      <c r="D5">
        <f>C5+$Q$2</f>
        <v>10</v>
      </c>
      <c r="E5">
        <f>D5+$R$2</f>
        <v>14</v>
      </c>
      <c r="F5">
        <f>E5+$S$2</f>
        <v>18</v>
      </c>
    </row>
    <row r="6" spans="1:28" x14ac:dyDescent="0.2">
      <c r="A6" t="s">
        <v>30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22</v>
      </c>
      <c r="F6">
        <f t="shared" ref="F6:F8" si="3">E6+$S$2</f>
        <v>26</v>
      </c>
    </row>
    <row r="7" spans="1:28" x14ac:dyDescent="0.2">
      <c r="A7" t="s">
        <v>31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30</v>
      </c>
      <c r="F7">
        <f t="shared" si="3"/>
        <v>34</v>
      </c>
    </row>
    <row r="8" spans="1:28" x14ac:dyDescent="0.2">
      <c r="A8" t="s">
        <v>50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38</v>
      </c>
      <c r="F8">
        <f t="shared" si="3"/>
        <v>42</v>
      </c>
    </row>
    <row r="9" spans="1:28" x14ac:dyDescent="0.2">
      <c r="A9" t="s">
        <v>32</v>
      </c>
      <c r="C9">
        <f>E8</f>
        <v>38</v>
      </c>
      <c r="D9">
        <f>C9+$U$2</f>
        <v>42</v>
      </c>
      <c r="E9">
        <f>D9+$V$2</f>
        <v>65</v>
      </c>
      <c r="F9">
        <f>E9+$W$2</f>
        <v>66</v>
      </c>
    </row>
    <row r="10" spans="1:28" x14ac:dyDescent="0.2">
      <c r="A10" t="s">
        <v>33</v>
      </c>
      <c r="C10">
        <f>F9</f>
        <v>66</v>
      </c>
      <c r="D10">
        <f>C10+$H$2</f>
        <v>67</v>
      </c>
      <c r="E10">
        <f>D10+$I$2</f>
        <v>68</v>
      </c>
      <c r="F10">
        <f>E10+$J$2</f>
        <v>69</v>
      </c>
    </row>
    <row r="11" spans="1:28" x14ac:dyDescent="0.2">
      <c r="A11" t="s">
        <v>34</v>
      </c>
      <c r="C11">
        <f>F10</f>
        <v>69</v>
      </c>
      <c r="D11">
        <f>C11+$L$2</f>
        <v>70</v>
      </c>
      <c r="E11">
        <f>D11+$M$2</f>
        <v>71</v>
      </c>
      <c r="F11">
        <f>E11+$N$2</f>
        <v>72</v>
      </c>
    </row>
    <row r="12" spans="1:28" x14ac:dyDescent="0.2">
      <c r="A12" t="s">
        <v>44</v>
      </c>
      <c r="B12">
        <f>D31-2</f>
        <v>79</v>
      </c>
      <c r="C12">
        <f>B12+$P$2</f>
        <v>81</v>
      </c>
      <c r="D12">
        <f>C12+$Q$2</f>
        <v>89</v>
      </c>
      <c r="E12">
        <f>D12+$R$2</f>
        <v>93</v>
      </c>
      <c r="F12">
        <f>E12+$S$2</f>
        <v>97</v>
      </c>
    </row>
    <row r="13" spans="1:28" x14ac:dyDescent="0.2">
      <c r="A13" t="s">
        <v>37</v>
      </c>
      <c r="C13">
        <f>E12</f>
        <v>93</v>
      </c>
      <c r="D13">
        <f>C13+$U$2</f>
        <v>97</v>
      </c>
      <c r="E13">
        <f>D13+$V$2</f>
        <v>120</v>
      </c>
      <c r="F13">
        <f>E13+$W$2</f>
        <v>121</v>
      </c>
    </row>
    <row r="14" spans="1:28" x14ac:dyDescent="0.2">
      <c r="A14" t="s">
        <v>33</v>
      </c>
      <c r="C14">
        <f>F13</f>
        <v>121</v>
      </c>
      <c r="D14">
        <f>C14+$H$2</f>
        <v>122</v>
      </c>
      <c r="E14">
        <f>D14+$I$2</f>
        <v>123</v>
      </c>
      <c r="F14">
        <f>E14+$J$2</f>
        <v>124</v>
      </c>
    </row>
    <row r="15" spans="1:28" x14ac:dyDescent="0.2">
      <c r="A15" t="s">
        <v>34</v>
      </c>
      <c r="C15">
        <f>F14</f>
        <v>124</v>
      </c>
      <c r="D15">
        <f>C15+$L$2</f>
        <v>125</v>
      </c>
      <c r="E15">
        <f>D15+$M$2</f>
        <v>126</v>
      </c>
      <c r="F15">
        <f>E15+$N$2</f>
        <v>127</v>
      </c>
    </row>
    <row r="16" spans="1:28" x14ac:dyDescent="0.2">
      <c r="A16" t="s">
        <v>38</v>
      </c>
      <c r="B16">
        <f>F15</f>
        <v>127</v>
      </c>
      <c r="C16">
        <f>B16+$P$2</f>
        <v>129</v>
      </c>
      <c r="D16">
        <f>C16+$Q$2</f>
        <v>137</v>
      </c>
      <c r="E16">
        <f>D16+$R$2</f>
        <v>141</v>
      </c>
      <c r="F16">
        <f>E16+$S$2</f>
        <v>145</v>
      </c>
    </row>
    <row r="17" spans="1:6" x14ac:dyDescent="0.2">
      <c r="A17" t="s">
        <v>37</v>
      </c>
      <c r="C17">
        <f>E16</f>
        <v>141</v>
      </c>
      <c r="D17">
        <f>C17+$U$2</f>
        <v>145</v>
      </c>
      <c r="E17">
        <f>D17+$V$2</f>
        <v>168</v>
      </c>
      <c r="F17">
        <f>E17+$W$2</f>
        <v>169</v>
      </c>
    </row>
    <row r="18" spans="1:6" x14ac:dyDescent="0.2">
      <c r="A18" t="s">
        <v>33</v>
      </c>
      <c r="C18">
        <f>F17</f>
        <v>169</v>
      </c>
      <c r="D18">
        <f>C18+$H$2</f>
        <v>170</v>
      </c>
      <c r="E18">
        <f>D18+$I$2</f>
        <v>171</v>
      </c>
      <c r="F18">
        <f>E18+$J$2</f>
        <v>172</v>
      </c>
    </row>
    <row r="19" spans="1:6" x14ac:dyDescent="0.2">
      <c r="A19" t="s">
        <v>34</v>
      </c>
      <c r="C19">
        <f>F18</f>
        <v>172</v>
      </c>
      <c r="D19">
        <f>C19+$L$2</f>
        <v>173</v>
      </c>
      <c r="E19">
        <f>D19+$M$2</f>
        <v>174</v>
      </c>
      <c r="F19">
        <f>E19+$N$2</f>
        <v>175</v>
      </c>
    </row>
    <row r="20" spans="1:6" x14ac:dyDescent="0.2">
      <c r="A20" t="s">
        <v>42</v>
      </c>
      <c r="B20">
        <f>F19</f>
        <v>175</v>
      </c>
      <c r="C20">
        <f>B20+$P$2</f>
        <v>177</v>
      </c>
      <c r="D20">
        <f>C20+$Q$2</f>
        <v>185</v>
      </c>
      <c r="E20">
        <f>D20+$R$2</f>
        <v>189</v>
      </c>
      <c r="F20">
        <f>E20+$S$2</f>
        <v>193</v>
      </c>
    </row>
    <row r="21" spans="1:6" x14ac:dyDescent="0.2">
      <c r="A21" t="s">
        <v>32</v>
      </c>
      <c r="C21">
        <f>E20</f>
        <v>189</v>
      </c>
      <c r="D21">
        <f>C21+$U$2</f>
        <v>193</v>
      </c>
      <c r="E21">
        <f>D21+$V$2</f>
        <v>216</v>
      </c>
      <c r="F21">
        <f>E21+$W$2</f>
        <v>217</v>
      </c>
    </row>
    <row r="22" spans="1:6" x14ac:dyDescent="0.2">
      <c r="A22" t="s">
        <v>33</v>
      </c>
      <c r="C22">
        <f>F21</f>
        <v>217</v>
      </c>
      <c r="D22">
        <f>C22+$H$2</f>
        <v>218</v>
      </c>
      <c r="E22">
        <f>D22+$I$2</f>
        <v>219</v>
      </c>
      <c r="F22">
        <f>E22+$J$2</f>
        <v>220</v>
      </c>
    </row>
    <row r="23" spans="1:6" x14ac:dyDescent="0.2">
      <c r="A23" t="s">
        <v>34</v>
      </c>
      <c r="C23">
        <f>F22</f>
        <v>220</v>
      </c>
      <c r="D23">
        <f>C23+$L$2</f>
        <v>221</v>
      </c>
      <c r="E23">
        <f>D23+$M$2</f>
        <v>222</v>
      </c>
      <c r="F23">
        <f>E23+$N$2</f>
        <v>223</v>
      </c>
    </row>
    <row r="24" spans="1:6" x14ac:dyDescent="0.2">
      <c r="A24" t="s">
        <v>22</v>
      </c>
      <c r="D24">
        <f>F23</f>
        <v>223</v>
      </c>
      <c r="E24">
        <f>D24+7</f>
        <v>230</v>
      </c>
      <c r="F24">
        <f>E24+1</f>
        <v>231</v>
      </c>
    </row>
    <row r="25" spans="1:6" x14ac:dyDescent="0.2">
      <c r="A25" t="s">
        <v>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46</v>
      </c>
      <c r="F25">
        <f t="shared" ref="F25:F26" si="7">E25+$S$2</f>
        <v>50</v>
      </c>
    </row>
    <row r="26" spans="1:6" x14ac:dyDescent="0.2">
      <c r="A26" t="s">
        <v>35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54</v>
      </c>
      <c r="F26">
        <f t="shared" si="7"/>
        <v>58</v>
      </c>
    </row>
    <row r="27" spans="1:6" x14ac:dyDescent="0.2">
      <c r="A27" t="s">
        <v>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62</v>
      </c>
      <c r="F27">
        <f>E27+$S$2</f>
        <v>66</v>
      </c>
    </row>
    <row r="28" spans="1:6" x14ac:dyDescent="0.2">
      <c r="A28" t="s">
        <v>49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117</v>
      </c>
      <c r="F28">
        <f>E28+$S$2</f>
        <v>121</v>
      </c>
    </row>
    <row r="29" spans="1:6" x14ac:dyDescent="0.2">
      <c r="A29" t="s">
        <v>45</v>
      </c>
      <c r="B29">
        <f>B12+8</f>
        <v>87</v>
      </c>
      <c r="C29">
        <f>B29+$P$2</f>
        <v>89</v>
      </c>
      <c r="D29">
        <f>C29+$Q$2</f>
        <v>97</v>
      </c>
      <c r="E29">
        <f>D29+$R$2</f>
        <v>101</v>
      </c>
      <c r="F29">
        <f>E29+$S$2</f>
        <v>105</v>
      </c>
    </row>
    <row r="30" spans="1:6" x14ac:dyDescent="0.2">
      <c r="A30" t="s">
        <v>46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109</v>
      </c>
      <c r="F30">
        <f>E30+$S$2</f>
        <v>113</v>
      </c>
    </row>
    <row r="31" spans="1:6" x14ac:dyDescent="0.2">
      <c r="A31" t="s">
        <v>196</v>
      </c>
      <c r="B31">
        <f>D27-2</f>
        <v>56</v>
      </c>
      <c r="C31">
        <f>B31+$Y$2</f>
        <v>58</v>
      </c>
      <c r="D31">
        <f>C31+$Z$2</f>
        <v>81</v>
      </c>
      <c r="E31" s="54">
        <f>D31+$AA$2+24</f>
        <v>97</v>
      </c>
      <c r="F31">
        <f>E31+$AB$2</f>
        <v>113</v>
      </c>
    </row>
    <row r="32" spans="1:6" x14ac:dyDescent="0.2">
      <c r="A32" t="s">
        <v>39</v>
      </c>
      <c r="B32">
        <f>D16-2</f>
        <v>135</v>
      </c>
      <c r="C32">
        <f>B32+$P$2</f>
        <v>137</v>
      </c>
      <c r="D32">
        <f>C32+$Q$2</f>
        <v>145</v>
      </c>
      <c r="E32">
        <f>D32+$R$2</f>
        <v>149</v>
      </c>
      <c r="F32">
        <f>E32+$S$2</f>
        <v>153</v>
      </c>
    </row>
    <row r="33" spans="1:6" x14ac:dyDescent="0.2">
      <c r="A33" t="s">
        <v>40</v>
      </c>
      <c r="B33">
        <f>B32+8</f>
        <v>143</v>
      </c>
      <c r="C33">
        <f>B33+$P$2</f>
        <v>145</v>
      </c>
      <c r="D33">
        <f>C33+$Q$2</f>
        <v>153</v>
      </c>
      <c r="E33">
        <f>D33+$R$2</f>
        <v>157</v>
      </c>
      <c r="F33">
        <f>E33+$S$2</f>
        <v>161</v>
      </c>
    </row>
    <row r="34" spans="1:6" x14ac:dyDescent="0.2">
      <c r="A34" t="s">
        <v>41</v>
      </c>
      <c r="B34">
        <f>D33-2</f>
        <v>151</v>
      </c>
      <c r="C34">
        <f>B34+$P$2</f>
        <v>153</v>
      </c>
      <c r="D34">
        <f>C34+$Q$2</f>
        <v>161</v>
      </c>
      <c r="E34">
        <f>D34+$R$2</f>
        <v>165</v>
      </c>
      <c r="F34">
        <f>E34+$S$2</f>
        <v>169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A5-8DB8-41DD-B69F-0012EB1257B8}">
  <dimension ref="A1:F38"/>
  <sheetViews>
    <sheetView workbookViewId="0">
      <selection activeCell="H36" sqref="H36"/>
    </sheetView>
  </sheetViews>
  <sheetFormatPr defaultRowHeight="14.25" x14ac:dyDescent="0.2"/>
  <cols>
    <col min="1" max="1" width="21.5" customWidth="1"/>
    <col min="3" max="3" width="10.625" customWidth="1"/>
    <col min="6" max="6" width="10.5" customWidth="1"/>
  </cols>
  <sheetData>
    <row r="1" spans="1:6" x14ac:dyDescent="0.2">
      <c r="A1" t="str">
        <f>'PMF c0 round0'!A1</f>
        <v>tile</v>
      </c>
      <c r="B1" t="str">
        <f>'PMF c0 round0'!B1</f>
        <v>PMF c0 round0</v>
      </c>
    </row>
    <row r="2" spans="1:6" x14ac:dyDescent="0.2">
      <c r="A2" t="str">
        <f>'PMF c0 round0'!A2</f>
        <v>x</v>
      </c>
      <c r="B2" t="str">
        <f>'PMF c0 round0'!B2</f>
        <v>CYCLE</v>
      </c>
    </row>
    <row r="3" spans="1:6" x14ac:dyDescent="0.2">
      <c r="A3" t="str">
        <f>'PMF c0 round0'!A3</f>
        <v>y</v>
      </c>
      <c r="B3" t="str">
        <f>'PMF c0 round0'!B3</f>
        <v>MODE</v>
      </c>
    </row>
    <row r="4" spans="1:6" x14ac:dyDescent="0.2">
      <c r="A4" t="str">
        <f>'PMF c0 round0'!A4</f>
        <v>mode</v>
      </c>
      <c r="B4" t="str">
        <f>'PMF c0 round0'!B4</f>
        <v>pipe begin</v>
      </c>
      <c r="C4" t="str">
        <f>'PMF c0 round0'!C4</f>
        <v>input begin</v>
      </c>
      <c r="D4" t="str">
        <f>'PMF c0 round0'!D4</f>
        <v>input end</v>
      </c>
      <c r="E4" t="str">
        <f>'PMF c0 round0'!E4</f>
        <v>output begin</v>
      </c>
      <c r="F4" t="str">
        <f>'PMF c0 round0'!F4</f>
        <v>output end</v>
      </c>
    </row>
    <row r="5" spans="1:6" x14ac:dyDescent="0.2">
      <c r="A5" t="str">
        <f>'PMF c0 round0'!A5</f>
        <v>PMF_M8_0_a</v>
      </c>
      <c r="B5">
        <f>'PMF c0 round0'!B5</f>
        <v>0</v>
      </c>
      <c r="C5">
        <f>'PMF c0 round0'!C5</f>
        <v>2</v>
      </c>
      <c r="D5">
        <f>'PMF c0 round0'!D5</f>
        <v>10</v>
      </c>
      <c r="E5" s="52">
        <f>'PMF c0 round0'!E5+2</f>
        <v>16</v>
      </c>
      <c r="F5" s="52">
        <f>'PMF c0 round0'!F5+2</f>
        <v>20</v>
      </c>
    </row>
    <row r="6" spans="1:6" x14ac:dyDescent="0.2">
      <c r="A6" t="str">
        <f>'PMF c0 round0'!A6</f>
        <v xml:space="preserve">PMF_M8_0_b </v>
      </c>
      <c r="B6">
        <f>'PMF c0 round0'!B6</f>
        <v>8</v>
      </c>
      <c r="C6">
        <f>'PMF c0 round0'!C6</f>
        <v>10</v>
      </c>
      <c r="D6">
        <f>'PMF c0 round0'!D6</f>
        <v>18</v>
      </c>
      <c r="E6" s="52">
        <f>'PMF c0 round0'!E6+2</f>
        <v>24</v>
      </c>
      <c r="F6" s="52">
        <f>'PMF c0 round0'!F6+2</f>
        <v>28</v>
      </c>
    </row>
    <row r="7" spans="1:6" x14ac:dyDescent="0.2">
      <c r="A7" t="str">
        <f>'PMF c0 round0'!A7</f>
        <v xml:space="preserve">PMF_M8_0_c </v>
      </c>
      <c r="B7">
        <f>'PMF c0 round0'!B7</f>
        <v>16</v>
      </c>
      <c r="C7">
        <f>'PMF c0 round0'!C7</f>
        <v>18</v>
      </c>
      <c r="D7">
        <f>'PMF c0 round0'!D7</f>
        <v>26</v>
      </c>
      <c r="E7" s="52">
        <f>'PMF c0 round0'!E7+2</f>
        <v>32</v>
      </c>
      <c r="F7" s="52">
        <f>'PMF c0 round0'!F7+2</f>
        <v>36</v>
      </c>
    </row>
    <row r="8" spans="1:6" x14ac:dyDescent="0.2">
      <c r="A8" t="str">
        <f>'PMF c0 round0'!A8</f>
        <v>PMF_F8_0</v>
      </c>
      <c r="B8">
        <f>'PMF c0 round0'!B8</f>
        <v>24</v>
      </c>
      <c r="C8">
        <f>'PMF c0 round0'!C8</f>
        <v>26</v>
      </c>
      <c r="D8">
        <f>'PMF c0 round0'!D8</f>
        <v>34</v>
      </c>
      <c r="E8" s="52">
        <f>'PMF c0 round0'!E8+2</f>
        <v>40</v>
      </c>
      <c r="F8" s="52">
        <f>'PMF c0 round0'!F8+2</f>
        <v>44</v>
      </c>
    </row>
    <row r="9" spans="1:6" x14ac:dyDescent="0.2">
      <c r="A9" t="str">
        <f>'PMF c0 round0'!A9</f>
        <v xml:space="preserve">TQITQ_F8 </v>
      </c>
      <c r="B9">
        <f>'PMF c0 round0'!B9</f>
        <v>0</v>
      </c>
      <c r="C9">
        <f>'PMF c0 round0'!C9</f>
        <v>38</v>
      </c>
      <c r="D9">
        <f>'PMF c0 round0'!D9</f>
        <v>42</v>
      </c>
      <c r="E9">
        <f>'PMF c0 round0'!E9</f>
        <v>65</v>
      </c>
      <c r="F9">
        <f>'PMF c0 round0'!F9</f>
        <v>66</v>
      </c>
    </row>
    <row r="10" spans="1:6" x14ac:dyDescent="0.2">
      <c r="A10" t="str">
        <f>'PMF c0 round0'!A10</f>
        <v xml:space="preserve">INTER_PK8 </v>
      </c>
      <c r="B10">
        <f>'PMF c0 round0'!B10</f>
        <v>0</v>
      </c>
      <c r="C10">
        <f>'PMF c0 round0'!C10</f>
        <v>66</v>
      </c>
      <c r="D10">
        <f>'PMF c0 round0'!D10</f>
        <v>67</v>
      </c>
      <c r="E10">
        <f>'PMF c0 round0'!E10</f>
        <v>68</v>
      </c>
      <c r="F10">
        <f>'PMF c0 round0'!F10</f>
        <v>69</v>
      </c>
    </row>
    <row r="11" spans="1:6" x14ac:dyDescent="0.2">
      <c r="A11" t="str">
        <f>'PMF c0 round0'!A11</f>
        <v xml:space="preserve">SEL_PK8 </v>
      </c>
      <c r="B11">
        <f>'PMF c0 round0'!B11</f>
        <v>0</v>
      </c>
      <c r="C11">
        <f>'PMF c0 round0'!C11</f>
        <v>69</v>
      </c>
      <c r="D11">
        <f>'PMF c0 round0'!D11</f>
        <v>70</v>
      </c>
      <c r="E11">
        <f>'PMF c0 round0'!E11</f>
        <v>71</v>
      </c>
      <c r="F11">
        <f>'PMF c0 round0'!F11</f>
        <v>72</v>
      </c>
    </row>
    <row r="12" spans="1:6" x14ac:dyDescent="0.2">
      <c r="A12" t="str">
        <f>'PMF c0 round0'!A12</f>
        <v xml:space="preserve">PMF_M8_1_c </v>
      </c>
      <c r="B12">
        <f>'PMF c0 round0'!B12</f>
        <v>79</v>
      </c>
      <c r="C12">
        <f>'PMF c0 round0'!C12</f>
        <v>81</v>
      </c>
      <c r="D12">
        <f>'PMF c0 round0'!D12</f>
        <v>89</v>
      </c>
      <c r="E12" s="52">
        <f>'PMF c0 round0'!E12+2</f>
        <v>95</v>
      </c>
      <c r="F12" s="52">
        <f>'PMF c0 round0'!F12+2</f>
        <v>99</v>
      </c>
    </row>
    <row r="13" spans="1:6" x14ac:dyDescent="0.2">
      <c r="A13" t="str">
        <f>'PMF c0 round0'!A13</f>
        <v xml:space="preserve">TQITQ_M8 </v>
      </c>
      <c r="B13">
        <f>'PMF c0 round0'!B13</f>
        <v>0</v>
      </c>
      <c r="C13">
        <f>'PMF c0 round0'!C13</f>
        <v>93</v>
      </c>
      <c r="D13">
        <f>'PMF c0 round0'!D13</f>
        <v>97</v>
      </c>
      <c r="E13">
        <f>'PMF c0 round0'!E13</f>
        <v>120</v>
      </c>
      <c r="F13">
        <f>'PMF c0 round0'!F13</f>
        <v>121</v>
      </c>
    </row>
    <row r="14" spans="1:6" x14ac:dyDescent="0.2">
      <c r="A14" t="str">
        <f>'PMF c0 round0'!A14</f>
        <v xml:space="preserve">INTER_PK8 </v>
      </c>
      <c r="B14">
        <f>'PMF c0 round0'!B14</f>
        <v>0</v>
      </c>
      <c r="C14">
        <f>'PMF c0 round0'!C14</f>
        <v>121</v>
      </c>
      <c r="D14">
        <f>'PMF c0 round0'!D14</f>
        <v>122</v>
      </c>
      <c r="E14">
        <f>'PMF c0 round0'!E14</f>
        <v>123</v>
      </c>
      <c r="F14">
        <f>'PMF c0 round0'!F14</f>
        <v>124</v>
      </c>
    </row>
    <row r="15" spans="1:6" x14ac:dyDescent="0.2">
      <c r="A15" t="str">
        <f>'PMF c0 round0'!A15</f>
        <v xml:space="preserve">SEL_PK8 </v>
      </c>
      <c r="B15">
        <f>'PMF c0 round0'!B15</f>
        <v>0</v>
      </c>
      <c r="C15">
        <f>'PMF c0 round0'!C15</f>
        <v>124</v>
      </c>
      <c r="D15">
        <f>'PMF c0 round0'!D15</f>
        <v>125</v>
      </c>
      <c r="E15">
        <f>'PMF c0 round0'!E15</f>
        <v>126</v>
      </c>
      <c r="F15">
        <f>'PMF c0 round0'!F15</f>
        <v>127</v>
      </c>
    </row>
    <row r="16" spans="1:6" x14ac:dyDescent="0.2">
      <c r="A16" t="str">
        <f>'PMF c0 round0'!A16</f>
        <v xml:space="preserve">PMF_M8_2_c </v>
      </c>
      <c r="B16">
        <f>'PMF c0 round0'!B16</f>
        <v>127</v>
      </c>
      <c r="C16">
        <f>'PMF c0 round0'!C16</f>
        <v>129</v>
      </c>
      <c r="D16">
        <f>'PMF c0 round0'!D16</f>
        <v>137</v>
      </c>
      <c r="E16" s="52">
        <f>'PMF c0 round0'!E16+2</f>
        <v>143</v>
      </c>
      <c r="F16" s="52">
        <f>'PMF c0 round0'!F16+2</f>
        <v>147</v>
      </c>
    </row>
    <row r="17" spans="1:6" x14ac:dyDescent="0.2">
      <c r="A17" t="str">
        <f>'PMF c0 round0'!A17</f>
        <v xml:space="preserve">TQITQ_M8 </v>
      </c>
      <c r="B17">
        <f>'PMF c0 round0'!B17</f>
        <v>0</v>
      </c>
      <c r="C17">
        <f>'PMF c0 round0'!C17</f>
        <v>141</v>
      </c>
      <c r="D17">
        <f>'PMF c0 round0'!D17</f>
        <v>145</v>
      </c>
      <c r="E17">
        <f>'PMF c0 round0'!E17</f>
        <v>168</v>
      </c>
      <c r="F17">
        <f>'PMF c0 round0'!F17</f>
        <v>169</v>
      </c>
    </row>
    <row r="18" spans="1:6" x14ac:dyDescent="0.2">
      <c r="A18" t="str">
        <f>'PMF c0 round0'!A18</f>
        <v xml:space="preserve">INTER_PK8 </v>
      </c>
      <c r="B18">
        <f>'PMF c0 round0'!B18</f>
        <v>0</v>
      </c>
      <c r="C18">
        <f>'PMF c0 round0'!C18</f>
        <v>169</v>
      </c>
      <c r="D18">
        <f>'PMF c0 round0'!D18</f>
        <v>170</v>
      </c>
      <c r="E18">
        <f>'PMF c0 round0'!E18</f>
        <v>171</v>
      </c>
      <c r="F18">
        <f>'PMF c0 round0'!F18</f>
        <v>172</v>
      </c>
    </row>
    <row r="19" spans="1:6" x14ac:dyDescent="0.2">
      <c r="A19" t="str">
        <f>'PMF c0 round0'!A19</f>
        <v xml:space="preserve">SEL_PK8 </v>
      </c>
      <c r="B19">
        <f>'PMF c0 round0'!B19</f>
        <v>0</v>
      </c>
      <c r="C19">
        <f>'PMF c0 round0'!C19</f>
        <v>172</v>
      </c>
      <c r="D19">
        <f>'PMF c0 round0'!D19</f>
        <v>173</v>
      </c>
      <c r="E19">
        <f>'PMF c0 round0'!E19</f>
        <v>174</v>
      </c>
      <c r="F19">
        <f>'PMF c0 round0'!F19</f>
        <v>175</v>
      </c>
    </row>
    <row r="20" spans="1:6" x14ac:dyDescent="0.2">
      <c r="A20" t="str">
        <f>'PMF c0 round0'!A20</f>
        <v xml:space="preserve">PMF_M8_3_c </v>
      </c>
      <c r="B20">
        <f>'PMF c0 round0'!B20</f>
        <v>175</v>
      </c>
      <c r="C20">
        <f>'PMF c0 round0'!C20</f>
        <v>177</v>
      </c>
      <c r="D20">
        <f>'PMF c0 round0'!D20</f>
        <v>185</v>
      </c>
      <c r="E20" s="52">
        <f>'PMF c0 round0'!E20+5</f>
        <v>194</v>
      </c>
      <c r="F20" s="52">
        <f>'PMF c0 round0'!F20+5</f>
        <v>198</v>
      </c>
    </row>
    <row r="21" spans="1:6" x14ac:dyDescent="0.2">
      <c r="A21" t="str">
        <f>'PMF c0 round0'!A21</f>
        <v xml:space="preserve">TQITQ_F8 </v>
      </c>
      <c r="B21">
        <f>'PMF c0 round0'!B21</f>
        <v>0</v>
      </c>
      <c r="C21">
        <f>'PMF c0 round0'!C21</f>
        <v>189</v>
      </c>
      <c r="D21">
        <f>'PMF c0 round0'!D21</f>
        <v>193</v>
      </c>
      <c r="E21">
        <f>'PMF c0 round0'!E21</f>
        <v>216</v>
      </c>
      <c r="F21">
        <f>'PMF c0 round0'!F21</f>
        <v>217</v>
      </c>
    </row>
    <row r="22" spans="1:6" x14ac:dyDescent="0.2">
      <c r="A22" t="str">
        <f>'PMF c0 round0'!A22</f>
        <v xml:space="preserve">INTER_PK8 </v>
      </c>
      <c r="B22">
        <f>'PMF c0 round0'!B22</f>
        <v>0</v>
      </c>
      <c r="C22">
        <f>'PMF c0 round0'!C22</f>
        <v>217</v>
      </c>
      <c r="D22">
        <f>'PMF c0 round0'!D22</f>
        <v>218</v>
      </c>
      <c r="E22">
        <f>'PMF c0 round0'!E22</f>
        <v>219</v>
      </c>
      <c r="F22">
        <f>'PMF c0 round0'!F22</f>
        <v>220</v>
      </c>
    </row>
    <row r="23" spans="1:6" x14ac:dyDescent="0.2">
      <c r="A23" t="str">
        <f>'PMF c0 round0'!A23</f>
        <v xml:space="preserve">SEL_PK8 </v>
      </c>
      <c r="B23">
        <f>'PMF c0 round0'!B23</f>
        <v>0</v>
      </c>
      <c r="C23">
        <f>'PMF c0 round0'!C23</f>
        <v>220</v>
      </c>
      <c r="D23">
        <f>'PMF c0 round0'!D23</f>
        <v>221</v>
      </c>
      <c r="E23">
        <f>'PMF c0 round0'!E23</f>
        <v>222</v>
      </c>
      <c r="F23">
        <f>'PMF c0 round0'!F23</f>
        <v>223</v>
      </c>
    </row>
    <row r="24" spans="1:6" x14ac:dyDescent="0.2">
      <c r="A24" t="str">
        <f>'PMF c0 round0'!A24</f>
        <v>dummy wait</v>
      </c>
      <c r="B24">
        <f>'PMF c0 round0'!B24</f>
        <v>0</v>
      </c>
      <c r="C24">
        <f>'PMF c0 round0'!C24</f>
        <v>0</v>
      </c>
      <c r="D24">
        <f>'PMF c0 round0'!D24</f>
        <v>223</v>
      </c>
      <c r="E24">
        <f>'PMF c0 round0'!E24</f>
        <v>230</v>
      </c>
      <c r="F24">
        <f>'PMF c0 round0'!F24</f>
        <v>231</v>
      </c>
    </row>
    <row r="25" spans="1:6" x14ac:dyDescent="0.2">
      <c r="A25" t="str">
        <f>'PMF c0 round0'!A25</f>
        <v>PMF_M8_1_a</v>
      </c>
      <c r="B25">
        <f>'PMF c0 round0'!B25</f>
        <v>32</v>
      </c>
      <c r="C25">
        <f>'PMF c0 round0'!C25</f>
        <v>34</v>
      </c>
      <c r="D25">
        <f>'PMF c0 round0'!D25</f>
        <v>42</v>
      </c>
      <c r="E25" s="52">
        <f>'PMF c0 round0'!E25+2</f>
        <v>48</v>
      </c>
      <c r="F25" s="52">
        <f>'PMF c0 round0'!F25+2</f>
        <v>52</v>
      </c>
    </row>
    <row r="26" spans="1:6" x14ac:dyDescent="0.2">
      <c r="A26" t="str">
        <f>'PMF c0 round0'!A26</f>
        <v xml:space="preserve">PMF_M8_1_b </v>
      </c>
      <c r="B26">
        <f>'PMF c0 round0'!B26</f>
        <v>40</v>
      </c>
      <c r="C26">
        <f>'PMF c0 round0'!C26</f>
        <v>42</v>
      </c>
      <c r="D26">
        <f>'PMF c0 round0'!D26</f>
        <v>50</v>
      </c>
      <c r="E26" s="52">
        <f>'PMF c0 round0'!E26+2</f>
        <v>56</v>
      </c>
      <c r="F26" s="52">
        <f>'PMF c0 round0'!F26+2</f>
        <v>60</v>
      </c>
    </row>
    <row r="27" spans="1:6" x14ac:dyDescent="0.2">
      <c r="A27" t="str">
        <f>'PMF c0 round0'!A27</f>
        <v>PMF_F8_1</v>
      </c>
      <c r="B27">
        <f>'PMF c0 round0'!B27</f>
        <v>48</v>
      </c>
      <c r="C27">
        <f>'PMF c0 round0'!C27</f>
        <v>50</v>
      </c>
      <c r="D27">
        <f>'PMF c0 round0'!D27</f>
        <v>58</v>
      </c>
      <c r="E27" s="52">
        <f>'PMF c0 round0'!E27+2</f>
        <v>64</v>
      </c>
      <c r="F27" s="52">
        <f>'PMF c0 round0'!F27+2</f>
        <v>68</v>
      </c>
    </row>
    <row r="28" spans="1:6" x14ac:dyDescent="0.2">
      <c r="A28" t="str">
        <f>'PMF c0 round0'!A28</f>
        <v>PMF_F8_2</v>
      </c>
      <c r="B28">
        <f>'PMF c0 round0'!B28</f>
        <v>103</v>
      </c>
      <c r="C28">
        <f>'PMF c0 round0'!C28</f>
        <v>105</v>
      </c>
      <c r="D28">
        <f>'PMF c0 round0'!D28</f>
        <v>113</v>
      </c>
      <c r="E28" s="52">
        <f>'PMF c0 round0'!E28+2</f>
        <v>119</v>
      </c>
      <c r="F28" s="52">
        <f>'PMF c0 round0'!F28+2</f>
        <v>123</v>
      </c>
    </row>
    <row r="29" spans="1:6" x14ac:dyDescent="0.2">
      <c r="A29" t="str">
        <f>'PMF c0 round0'!A29</f>
        <v>PMF_M8_2_a</v>
      </c>
      <c r="B29">
        <f>'PMF c0 round0'!B29</f>
        <v>87</v>
      </c>
      <c r="C29">
        <f>'PMF c0 round0'!C29</f>
        <v>89</v>
      </c>
      <c r="D29">
        <f>'PMF c0 round0'!D29</f>
        <v>97</v>
      </c>
      <c r="E29" s="52">
        <f>'PMF c0 round0'!E29+2</f>
        <v>103</v>
      </c>
      <c r="F29" s="52">
        <f>'PMF c0 round0'!F29+2</f>
        <v>107</v>
      </c>
    </row>
    <row r="30" spans="1:6" x14ac:dyDescent="0.2">
      <c r="A30" t="str">
        <f>'PMF c0 round0'!A30</f>
        <v xml:space="preserve">PMF_M8_2_b </v>
      </c>
      <c r="B30">
        <f>'PMF c0 round0'!B30</f>
        <v>95</v>
      </c>
      <c r="C30">
        <f>'PMF c0 round0'!C30</f>
        <v>97</v>
      </c>
      <c r="D30">
        <f>'PMF c0 round0'!D30</f>
        <v>105</v>
      </c>
      <c r="E30" s="52">
        <f>'PMF c0 round0'!E30+2</f>
        <v>111</v>
      </c>
      <c r="F30" s="52">
        <f>'PMF c0 round0'!F30+2</f>
        <v>115</v>
      </c>
    </row>
    <row r="31" spans="1:6" x14ac:dyDescent="0.2">
      <c r="A31" t="str">
        <f>'PMF c0 round0'!A31</f>
        <v>PMF_F16_0</v>
      </c>
      <c r="B31">
        <f>'PMF c0 round0'!B31</f>
        <v>56</v>
      </c>
      <c r="C31">
        <f>'PMF c0 round0'!C31</f>
        <v>58</v>
      </c>
      <c r="D31">
        <f>'PMF c0 round0'!D31</f>
        <v>81</v>
      </c>
      <c r="E31">
        <f>'PMF c0 round0'!E31</f>
        <v>97</v>
      </c>
      <c r="F31">
        <f>'PMF c0 round0'!F31</f>
        <v>113</v>
      </c>
    </row>
    <row r="32" spans="1:6" x14ac:dyDescent="0.2">
      <c r="A32" t="str">
        <f>'PMF c0 round0'!A32</f>
        <v>PMF_M8_3_a</v>
      </c>
      <c r="B32">
        <f>'PMF c0 round0'!B32</f>
        <v>135</v>
      </c>
      <c r="C32">
        <f>'PMF c0 round0'!C32</f>
        <v>137</v>
      </c>
      <c r="D32">
        <f>'PMF c0 round0'!D32</f>
        <v>145</v>
      </c>
      <c r="E32" s="52">
        <f>'PMF c0 round0'!E32+2</f>
        <v>151</v>
      </c>
      <c r="F32" s="52">
        <f>'PMF c0 round0'!F32+2</f>
        <v>155</v>
      </c>
    </row>
    <row r="33" spans="1:6" x14ac:dyDescent="0.2">
      <c r="A33" t="str">
        <f>'PMF c0 round0'!A33</f>
        <v xml:space="preserve">PMF_M8_3_b </v>
      </c>
      <c r="B33">
        <f>'PMF c0 round0'!B33</f>
        <v>143</v>
      </c>
      <c r="C33">
        <f>'PMF c0 round0'!C33</f>
        <v>145</v>
      </c>
      <c r="D33">
        <f>'PMF c0 round0'!D33</f>
        <v>153</v>
      </c>
      <c r="E33" s="52">
        <f>'PMF c0 round0'!E33+2</f>
        <v>159</v>
      </c>
      <c r="F33" s="52">
        <f>'PMF c0 round0'!F33+2</f>
        <v>163</v>
      </c>
    </row>
    <row r="34" spans="1:6" x14ac:dyDescent="0.2">
      <c r="A34" t="str">
        <f>'PMF c0 round0'!A34</f>
        <v xml:space="preserve">PMF_F8_3 </v>
      </c>
      <c r="B34">
        <f>'PMF c0 round0'!B34</f>
        <v>151</v>
      </c>
      <c r="C34">
        <f>'PMF c0 round0'!C34</f>
        <v>153</v>
      </c>
      <c r="D34">
        <f>'PMF c0 round0'!D34</f>
        <v>161</v>
      </c>
      <c r="E34" s="52">
        <f>'PMF c0 round0'!E34+2</f>
        <v>167</v>
      </c>
      <c r="F34" s="52">
        <f>'PMF c0 round0'!F34+2</f>
        <v>171</v>
      </c>
    </row>
    <row r="35" spans="1:6" x14ac:dyDescent="0.2">
      <c r="A35">
        <f>'PMF c0 round0'!A35</f>
        <v>0</v>
      </c>
      <c r="B35">
        <f>'PMF c0 round0'!B35</f>
        <v>0</v>
      </c>
      <c r="C35">
        <f>'PMF c0 round0'!C35</f>
        <v>0</v>
      </c>
      <c r="D35">
        <f>'PMF c0 round0'!D35</f>
        <v>0</v>
      </c>
      <c r="E35">
        <f>'PMF c0 round0'!E35</f>
        <v>0</v>
      </c>
      <c r="F35">
        <f>'PMF c0 round0'!F35</f>
        <v>0</v>
      </c>
    </row>
    <row r="36" spans="1:6" x14ac:dyDescent="0.2">
      <c r="A36">
        <f>'PMF c0 round0'!A36</f>
        <v>0</v>
      </c>
      <c r="B36">
        <f>'PMF c0 round0'!B36</f>
        <v>0</v>
      </c>
      <c r="C36">
        <f>'PMF c0 round0'!C36</f>
        <v>0</v>
      </c>
      <c r="D36">
        <f>'PMF c0 round0'!D36</f>
        <v>0</v>
      </c>
      <c r="E36">
        <f>'PMF c0 round0'!E36</f>
        <v>0</v>
      </c>
      <c r="F36">
        <f>'PMF c0 round0'!F36</f>
        <v>0</v>
      </c>
    </row>
    <row r="37" spans="1:6" x14ac:dyDescent="0.2">
      <c r="A37">
        <f>'PMF c0 round0'!A37</f>
        <v>0</v>
      </c>
      <c r="B37">
        <f>'PMF c0 round0'!B37</f>
        <v>0</v>
      </c>
      <c r="C37">
        <f>'PMF c0 round0'!C37</f>
        <v>0</v>
      </c>
      <c r="D37">
        <f>'PMF c0 round0'!D37</f>
        <v>0</v>
      </c>
      <c r="E37">
        <f>'PMF c0 round0'!E37</f>
        <v>0</v>
      </c>
      <c r="F37">
        <f>'PMF c0 round0'!F37</f>
        <v>0</v>
      </c>
    </row>
    <row r="38" spans="1:6" x14ac:dyDescent="0.2">
      <c r="A38">
        <f>'PMF c0 round0'!A38</f>
        <v>0</v>
      </c>
      <c r="B38">
        <f>'PMF c0 round0'!B38</f>
        <v>0</v>
      </c>
      <c r="C38">
        <f>'PMF c0 round0'!C38</f>
        <v>0</v>
      </c>
      <c r="D38">
        <f>'PMF c0 round0'!D38</f>
        <v>0</v>
      </c>
      <c r="E38">
        <f>'PMF c0 round0'!E38</f>
        <v>0</v>
      </c>
      <c r="F38">
        <f>'PMF c0 round0'!F38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389-FFB6-4E7A-82E3-8B45521F4717}">
  <dimension ref="A1:F36"/>
  <sheetViews>
    <sheetView workbookViewId="0">
      <selection activeCell="G31" sqref="G31"/>
    </sheetView>
  </sheetViews>
  <sheetFormatPr defaultRowHeight="14.25" x14ac:dyDescent="0.2"/>
  <cols>
    <col min="1" max="1" width="21.5" customWidth="1"/>
    <col min="3" max="3" width="10.625" customWidth="1"/>
  </cols>
  <sheetData>
    <row r="1" spans="1:6" x14ac:dyDescent="0.2">
      <c r="A1" t="str">
        <f>'PMF c0 round1-3'!A1</f>
        <v>tile</v>
      </c>
      <c r="B1" t="str">
        <f>'PMF c0 round1-3'!B1</f>
        <v>PMF C0 Round 1-3</v>
      </c>
      <c r="C1">
        <f>'PMF c0 round1-3'!C1</f>
        <v>0</v>
      </c>
      <c r="D1">
        <f>'PMF c0 round1-3'!D1</f>
        <v>0</v>
      </c>
      <c r="E1">
        <f>'PMF c0 round1-3'!E1</f>
        <v>0</v>
      </c>
      <c r="F1">
        <f>'PMF c0 round1-3'!F1</f>
        <v>0</v>
      </c>
    </row>
    <row r="2" spans="1:6" x14ac:dyDescent="0.2">
      <c r="A2" t="str">
        <f>'PMF c0 round1-3'!A2</f>
        <v>x</v>
      </c>
      <c r="B2" t="str">
        <f>'PMF c0 round1-3'!B2</f>
        <v>CYCLE</v>
      </c>
      <c r="C2">
        <f>'PMF c0 round1-3'!C2</f>
        <v>0</v>
      </c>
      <c r="D2">
        <f>'PMF c0 round1-3'!D2</f>
        <v>0</v>
      </c>
      <c r="E2">
        <f>'PMF c0 round1-3'!E2</f>
        <v>0</v>
      </c>
      <c r="F2">
        <f>'PMF c0 round1-3'!F2</f>
        <v>0</v>
      </c>
    </row>
    <row r="3" spans="1:6" x14ac:dyDescent="0.2">
      <c r="A3" t="str">
        <f>'PMF c0 round1-3'!A3</f>
        <v>y</v>
      </c>
      <c r="B3" t="str">
        <f>'PMF c0 round1-3'!B3</f>
        <v>MODE</v>
      </c>
      <c r="C3">
        <f>'PMF c0 round1-3'!C3</f>
        <v>0</v>
      </c>
      <c r="D3">
        <f>'PMF c0 round1-3'!D3</f>
        <v>0</v>
      </c>
      <c r="E3">
        <f>'PMF c0 round1-3'!E3</f>
        <v>0</v>
      </c>
      <c r="F3">
        <f>'PMF c0 round1-3'!F3</f>
        <v>0</v>
      </c>
    </row>
    <row r="4" spans="1:6" x14ac:dyDescent="0.2">
      <c r="A4" t="str">
        <f>'PMF c0 round1-3'!A4</f>
        <v>mode</v>
      </c>
      <c r="B4" t="str">
        <f>'PMF c0 round1-3'!B4</f>
        <v>pipe begin</v>
      </c>
      <c r="C4" t="str">
        <f>'PMF c0 round1-3'!C4</f>
        <v>input begin</v>
      </c>
      <c r="D4" t="str">
        <f>'PMF c0 round1-3'!D4</f>
        <v>input end</v>
      </c>
      <c r="E4" t="str">
        <f>'PMF c0 round1-3'!E4</f>
        <v>output begin</v>
      </c>
      <c r="F4" t="str">
        <f>'PMF c0 round1-3'!F4</f>
        <v>output end</v>
      </c>
    </row>
    <row r="5" spans="1:6" x14ac:dyDescent="0.2">
      <c r="A5" t="str">
        <f>'PMF c0 round1-3'!A6</f>
        <v>PMF_M8_0_a</v>
      </c>
      <c r="B5">
        <f>'PMF c0 round1-3'!B6</f>
        <v>206</v>
      </c>
      <c r="C5">
        <f>'PMF c0 round1-3'!C6</f>
        <v>208</v>
      </c>
      <c r="D5">
        <f>'PMF c0 round1-3'!D6</f>
        <v>216</v>
      </c>
      <c r="E5" s="52">
        <f>'PMF c0 round1-3'!E6+2</f>
        <v>222</v>
      </c>
      <c r="F5" s="52">
        <f>'PMF c0 round1-3'!F6+2</f>
        <v>226</v>
      </c>
    </row>
    <row r="6" spans="1:6" x14ac:dyDescent="0.2">
      <c r="A6" t="str">
        <f>'PMF c0 round1-3'!A7</f>
        <v xml:space="preserve">PMF_M8_0_b </v>
      </c>
      <c r="B6">
        <f>'PMF c0 round1-3'!B7</f>
        <v>214</v>
      </c>
      <c r="C6">
        <f>'PMF c0 round1-3'!C7</f>
        <v>216</v>
      </c>
      <c r="D6">
        <f>'PMF c0 round1-3'!D7</f>
        <v>224</v>
      </c>
      <c r="E6" s="52">
        <f>'PMF c0 round1-3'!E7+2</f>
        <v>230</v>
      </c>
      <c r="F6" s="52">
        <f>'PMF c0 round1-3'!F7+2</f>
        <v>234</v>
      </c>
    </row>
    <row r="7" spans="1:6" x14ac:dyDescent="0.2">
      <c r="A7" t="str">
        <f>'PMF c0 round1-3'!A8</f>
        <v xml:space="preserve">PMF_F8_0 </v>
      </c>
      <c r="B7">
        <f>'PMF c0 round1-3'!B8</f>
        <v>222</v>
      </c>
      <c r="C7">
        <f>'PMF c0 round1-3'!C8</f>
        <v>224</v>
      </c>
      <c r="D7">
        <f>'PMF c0 round1-3'!D8</f>
        <v>232</v>
      </c>
      <c r="E7" s="52">
        <f>'PMF c0 round1-3'!E8+2</f>
        <v>238</v>
      </c>
      <c r="F7" s="52">
        <f>'PMF c0 round1-3'!F8+2</f>
        <v>242</v>
      </c>
    </row>
    <row r="8" spans="1:6" x14ac:dyDescent="0.2">
      <c r="A8" t="str">
        <f>'PMF c0 round1-3'!A9</f>
        <v xml:space="preserve">PMF_M8_0_c </v>
      </c>
      <c r="B8">
        <f>'PMF c0 round1-3'!B9</f>
        <v>230</v>
      </c>
      <c r="C8">
        <f>'PMF c0 round1-3'!C9</f>
        <v>232</v>
      </c>
      <c r="D8">
        <f>'PMF c0 round1-3'!D9</f>
        <v>240</v>
      </c>
      <c r="E8" s="52">
        <f>'PMF c0 round1-3'!E9+2</f>
        <v>246</v>
      </c>
      <c r="F8" s="52">
        <f>'PMF c0 round1-3'!F9+2</f>
        <v>250</v>
      </c>
    </row>
    <row r="9" spans="1:6" x14ac:dyDescent="0.2">
      <c r="A9" t="str">
        <f>'PMF c0 round1-3'!A10</f>
        <v xml:space="preserve">TQITQ_M8 </v>
      </c>
      <c r="B9">
        <f>'PMF c0 round1-3'!B10</f>
        <v>0</v>
      </c>
      <c r="C9">
        <f>'PMF c0 round1-3'!C10</f>
        <v>244</v>
      </c>
      <c r="D9">
        <f>'PMF c0 round1-3'!D10</f>
        <v>248</v>
      </c>
      <c r="E9">
        <f>'PMF c0 round1-3'!E10</f>
        <v>271</v>
      </c>
      <c r="F9">
        <f>'PMF c0 round1-3'!F10</f>
        <v>272</v>
      </c>
    </row>
    <row r="10" spans="1:6" x14ac:dyDescent="0.2">
      <c r="A10" t="str">
        <f>'PMF c0 round1-3'!A11</f>
        <v xml:space="preserve">INTER_PK8 </v>
      </c>
      <c r="B10">
        <f>'PMF c0 round1-3'!B11</f>
        <v>0</v>
      </c>
      <c r="C10">
        <f>'PMF c0 round1-3'!C11</f>
        <v>272</v>
      </c>
      <c r="D10">
        <f>'PMF c0 round1-3'!D11</f>
        <v>273</v>
      </c>
      <c r="E10">
        <f>'PMF c0 round1-3'!E11</f>
        <v>274</v>
      </c>
      <c r="F10">
        <f>'PMF c0 round1-3'!F11</f>
        <v>275</v>
      </c>
    </row>
    <row r="11" spans="1:6" x14ac:dyDescent="0.2">
      <c r="A11" t="str">
        <f>'PMF c0 round1-3'!A12</f>
        <v xml:space="preserve">SEL_PK8 </v>
      </c>
      <c r="B11">
        <f>'PMF c0 round1-3'!B12</f>
        <v>0</v>
      </c>
      <c r="C11">
        <f>'PMF c0 round1-3'!C12</f>
        <v>275</v>
      </c>
      <c r="D11">
        <f>'PMF c0 round1-3'!D12</f>
        <v>276</v>
      </c>
      <c r="E11">
        <f>'PMF c0 round1-3'!E12</f>
        <v>277</v>
      </c>
      <c r="F11">
        <f>'PMF c0 round1-3'!F12</f>
        <v>278</v>
      </c>
    </row>
    <row r="12" spans="1:6" x14ac:dyDescent="0.2">
      <c r="A12" t="str">
        <f>'PMF c0 round1-3'!A13</f>
        <v xml:space="preserve">PMF_M8_1_c </v>
      </c>
      <c r="B12">
        <f>'PMF c0 round1-3'!B13</f>
        <v>285</v>
      </c>
      <c r="C12">
        <f>'PMF c0 round1-3'!C13</f>
        <v>287</v>
      </c>
      <c r="D12">
        <f>'PMF c0 round1-3'!D13</f>
        <v>295</v>
      </c>
      <c r="E12" s="52">
        <f>'PMF c0 round1-3'!E13+2</f>
        <v>301</v>
      </c>
      <c r="F12" s="52">
        <f>'PMF c0 round1-3'!F13+2</f>
        <v>305</v>
      </c>
    </row>
    <row r="13" spans="1:6" x14ac:dyDescent="0.2">
      <c r="A13" t="str">
        <f>'PMF c0 round1-3'!A14</f>
        <v xml:space="preserve">TQITQ_M8 </v>
      </c>
      <c r="B13">
        <f>'PMF c0 round1-3'!B14</f>
        <v>0</v>
      </c>
      <c r="C13">
        <f>'PMF c0 round1-3'!C14</f>
        <v>299</v>
      </c>
      <c r="D13">
        <f>'PMF c0 round1-3'!D14</f>
        <v>303</v>
      </c>
      <c r="E13">
        <f>'PMF c0 round1-3'!E14</f>
        <v>326</v>
      </c>
      <c r="F13">
        <f>'PMF c0 round1-3'!F14</f>
        <v>327</v>
      </c>
    </row>
    <row r="14" spans="1:6" x14ac:dyDescent="0.2">
      <c r="A14" t="str">
        <f>'PMF c0 round1-3'!A15</f>
        <v xml:space="preserve">INTER_PK8 </v>
      </c>
      <c r="B14">
        <f>'PMF c0 round1-3'!B15</f>
        <v>0</v>
      </c>
      <c r="C14">
        <f>'PMF c0 round1-3'!C15</f>
        <v>327</v>
      </c>
      <c r="D14">
        <f>'PMF c0 round1-3'!D15</f>
        <v>328</v>
      </c>
      <c r="E14">
        <f>'PMF c0 round1-3'!E15</f>
        <v>329</v>
      </c>
      <c r="F14">
        <f>'PMF c0 round1-3'!F15</f>
        <v>330</v>
      </c>
    </row>
    <row r="15" spans="1:6" x14ac:dyDescent="0.2">
      <c r="A15" t="str">
        <f>'PMF c0 round1-3'!A16</f>
        <v xml:space="preserve">SEL_PK8 </v>
      </c>
      <c r="B15">
        <f>'PMF c0 round1-3'!B16</f>
        <v>0</v>
      </c>
      <c r="C15">
        <f>'PMF c0 round1-3'!C16</f>
        <v>330</v>
      </c>
      <c r="D15">
        <f>'PMF c0 round1-3'!D16</f>
        <v>331</v>
      </c>
      <c r="E15">
        <f>'PMF c0 round1-3'!E16</f>
        <v>332</v>
      </c>
      <c r="F15">
        <f>'PMF c0 round1-3'!F16</f>
        <v>333</v>
      </c>
    </row>
    <row r="16" spans="1:6" x14ac:dyDescent="0.2">
      <c r="A16" t="str">
        <f>'PMF c0 round1-3'!A17</f>
        <v xml:space="preserve">PMF_M8_2_c </v>
      </c>
      <c r="B16">
        <f>'PMF c0 round1-3'!B17</f>
        <v>333</v>
      </c>
      <c r="C16">
        <f>'PMF c0 round1-3'!C17</f>
        <v>335</v>
      </c>
      <c r="D16">
        <f>'PMF c0 round1-3'!D17</f>
        <v>343</v>
      </c>
      <c r="E16" s="52">
        <f>'PMF c0 round1-3'!E17+1</f>
        <v>348</v>
      </c>
      <c r="F16" s="52">
        <f>'PMF c0 round1-3'!F17+1</f>
        <v>352</v>
      </c>
    </row>
    <row r="17" spans="1:6" x14ac:dyDescent="0.2">
      <c r="A17" t="str">
        <f>'PMF c0 round1-3'!A18</f>
        <v xml:space="preserve">TQITQ_M8 </v>
      </c>
      <c r="B17">
        <f>'PMF c0 round1-3'!B18</f>
        <v>0</v>
      </c>
      <c r="C17">
        <f>'PMF c0 round1-3'!C18</f>
        <v>347</v>
      </c>
      <c r="D17">
        <f>'PMF c0 round1-3'!D18</f>
        <v>351</v>
      </c>
      <c r="E17">
        <f>'PMF c0 round1-3'!E18</f>
        <v>374</v>
      </c>
      <c r="F17">
        <f>'PMF c0 round1-3'!F18</f>
        <v>375</v>
      </c>
    </row>
    <row r="18" spans="1:6" x14ac:dyDescent="0.2">
      <c r="A18" t="str">
        <f>'PMF c0 round1-3'!A19</f>
        <v xml:space="preserve">INTER_PK8 </v>
      </c>
      <c r="B18">
        <f>'PMF c0 round1-3'!B19</f>
        <v>0</v>
      </c>
      <c r="C18">
        <f>'PMF c0 round1-3'!C19</f>
        <v>375</v>
      </c>
      <c r="D18">
        <f>'PMF c0 round1-3'!D19</f>
        <v>376</v>
      </c>
      <c r="E18">
        <f>'PMF c0 round1-3'!E19</f>
        <v>377</v>
      </c>
      <c r="F18">
        <f>'PMF c0 round1-3'!F19</f>
        <v>378</v>
      </c>
    </row>
    <row r="19" spans="1:6" x14ac:dyDescent="0.2">
      <c r="A19" t="str">
        <f>'PMF c0 round1-3'!A20</f>
        <v xml:space="preserve">SEL_PK8 </v>
      </c>
      <c r="B19">
        <f>'PMF c0 round1-3'!B20</f>
        <v>0</v>
      </c>
      <c r="C19">
        <f>'PMF c0 round1-3'!C20</f>
        <v>378</v>
      </c>
      <c r="D19">
        <f>'PMF c0 round1-3'!D20</f>
        <v>379</v>
      </c>
      <c r="E19">
        <f>'PMF c0 round1-3'!E20</f>
        <v>380</v>
      </c>
      <c r="F19">
        <f>'PMF c0 round1-3'!F20</f>
        <v>381</v>
      </c>
    </row>
    <row r="20" spans="1:6" x14ac:dyDescent="0.2">
      <c r="A20" t="str">
        <f>'PMF c0 round1-3'!A21</f>
        <v xml:space="preserve">PMF_M8_3_c </v>
      </c>
      <c r="B20">
        <f>'PMF c0 round1-3'!B21</f>
        <v>381</v>
      </c>
      <c r="C20">
        <f>'PMF c0 round1-3'!C21</f>
        <v>383</v>
      </c>
      <c r="D20">
        <f>'PMF c0 round1-3'!D21</f>
        <v>391</v>
      </c>
      <c r="E20" s="53">
        <f>'PMF c0 round1-3'!E21+5</f>
        <v>400</v>
      </c>
      <c r="F20" s="53">
        <f>'PMF c0 round1-3'!F21+5</f>
        <v>404</v>
      </c>
    </row>
    <row r="21" spans="1:6" x14ac:dyDescent="0.2">
      <c r="A21" t="str">
        <f>'PMF c0 round1-3'!A22</f>
        <v xml:space="preserve">TQITQ_F8 </v>
      </c>
      <c r="B21">
        <f>'PMF c0 round1-3'!B22</f>
        <v>0</v>
      </c>
      <c r="C21">
        <f>'PMF c0 round1-3'!C22</f>
        <v>395</v>
      </c>
      <c r="D21">
        <f>'PMF c0 round1-3'!D22</f>
        <v>399</v>
      </c>
      <c r="E21">
        <f>'PMF c0 round1-3'!E22</f>
        <v>422</v>
      </c>
      <c r="F21">
        <f>'PMF c0 round1-3'!F22</f>
        <v>423</v>
      </c>
    </row>
    <row r="22" spans="1:6" x14ac:dyDescent="0.2">
      <c r="A22" t="str">
        <f>'PMF c0 round1-3'!A23</f>
        <v xml:space="preserve">INTER_PK8 </v>
      </c>
      <c r="B22">
        <f>'PMF c0 round1-3'!B23</f>
        <v>0</v>
      </c>
      <c r="C22">
        <f>'PMF c0 round1-3'!C23</f>
        <v>423</v>
      </c>
      <c r="D22">
        <f>'PMF c0 round1-3'!D23</f>
        <v>424</v>
      </c>
      <c r="E22">
        <f>'PMF c0 round1-3'!E23</f>
        <v>425</v>
      </c>
      <c r="F22">
        <f>'PMF c0 round1-3'!F23</f>
        <v>426</v>
      </c>
    </row>
    <row r="23" spans="1:6" x14ac:dyDescent="0.2">
      <c r="A23" t="str">
        <f>'PMF c0 round1-3'!A24</f>
        <v xml:space="preserve">SEL_PK8 </v>
      </c>
      <c r="B23">
        <f>'PMF c0 round1-3'!B24</f>
        <v>0</v>
      </c>
      <c r="C23">
        <f>'PMF c0 round1-3'!C24</f>
        <v>426</v>
      </c>
      <c r="D23">
        <f>'PMF c0 round1-3'!D24</f>
        <v>427</v>
      </c>
      <c r="E23">
        <f>'PMF c0 round1-3'!E24</f>
        <v>428</v>
      </c>
      <c r="F23">
        <f>'PMF c0 round1-3'!F24</f>
        <v>429</v>
      </c>
    </row>
    <row r="24" spans="1:6" x14ac:dyDescent="0.2">
      <c r="A24" t="str">
        <f>'PMF c0 round1-3'!A25</f>
        <v>PMF_M8_1_a</v>
      </c>
      <c r="B24">
        <f>'PMF c0 round1-3'!B25</f>
        <v>238</v>
      </c>
      <c r="C24">
        <f>'PMF c0 round1-3'!C25</f>
        <v>240</v>
      </c>
      <c r="D24">
        <f>'PMF c0 round1-3'!D25</f>
        <v>248</v>
      </c>
      <c r="E24" s="52">
        <f>'PMF c0 round1-3'!E25+2</f>
        <v>254</v>
      </c>
      <c r="F24" s="52">
        <f>'PMF c0 round1-3'!F25+2</f>
        <v>258</v>
      </c>
    </row>
    <row r="25" spans="1:6" x14ac:dyDescent="0.2">
      <c r="A25" t="str">
        <f>'PMF c0 round1-3'!A26</f>
        <v xml:space="preserve">PMF_M8_1_b </v>
      </c>
      <c r="B25">
        <f>'PMF c0 round1-3'!B26</f>
        <v>246</v>
      </c>
      <c r="C25">
        <f>'PMF c0 round1-3'!C26</f>
        <v>248</v>
      </c>
      <c r="D25">
        <f>'PMF c0 round1-3'!D26</f>
        <v>256</v>
      </c>
      <c r="E25" s="52">
        <f>'PMF c0 round1-3'!E26+2</f>
        <v>262</v>
      </c>
      <c r="F25" s="52">
        <f>'PMF c0 round1-3'!F26+2</f>
        <v>266</v>
      </c>
    </row>
    <row r="26" spans="1:6" x14ac:dyDescent="0.2">
      <c r="A26" t="str">
        <f>'PMF c0 round1-3'!A27</f>
        <v xml:space="preserve">PMF_F8_1 </v>
      </c>
      <c r="B26">
        <f>'PMF c0 round1-3'!B27</f>
        <v>254</v>
      </c>
      <c r="C26">
        <f>'PMF c0 round1-3'!C27</f>
        <v>256</v>
      </c>
      <c r="D26">
        <f>'PMF c0 round1-3'!D27</f>
        <v>264</v>
      </c>
      <c r="E26" s="52">
        <f>'PMF c0 round1-3'!E27+2</f>
        <v>270</v>
      </c>
      <c r="F26" s="52">
        <f>'PMF c0 round1-3'!F27+2</f>
        <v>274</v>
      </c>
    </row>
    <row r="27" spans="1:6" x14ac:dyDescent="0.2">
      <c r="A27" t="str">
        <f>'PMF c0 round1-3'!A28</f>
        <v>PMF_F8_2</v>
      </c>
      <c r="B27">
        <f>'PMF c0 round1-3'!B28</f>
        <v>309</v>
      </c>
      <c r="C27">
        <f>'PMF c0 round1-3'!C28</f>
        <v>311</v>
      </c>
      <c r="D27">
        <f>'PMF c0 round1-3'!D28</f>
        <v>319</v>
      </c>
      <c r="E27" s="52">
        <f>'PMF c0 round1-3'!E28+2</f>
        <v>325</v>
      </c>
      <c r="F27" s="52">
        <f>'PMF c0 round1-3'!F28+2</f>
        <v>329</v>
      </c>
    </row>
    <row r="28" spans="1:6" x14ac:dyDescent="0.2">
      <c r="A28" t="str">
        <f>'PMF c0 round1-3'!A29</f>
        <v>PMF_M8_2_a</v>
      </c>
      <c r="B28">
        <f>'PMF c0 round1-3'!B29</f>
        <v>293</v>
      </c>
      <c r="C28">
        <f>'PMF c0 round1-3'!C29</f>
        <v>295</v>
      </c>
      <c r="D28">
        <f>'PMF c0 round1-3'!D29</f>
        <v>303</v>
      </c>
      <c r="E28" s="52">
        <f>'PMF c0 round1-3'!E29+2</f>
        <v>309</v>
      </c>
      <c r="F28" s="52">
        <f>'PMF c0 round1-3'!F29+2</f>
        <v>313</v>
      </c>
    </row>
    <row r="29" spans="1:6" x14ac:dyDescent="0.2">
      <c r="A29" t="str">
        <f>'PMF c0 round1-3'!A30</f>
        <v xml:space="preserve">PMF_M8_2_b </v>
      </c>
      <c r="B29">
        <f>'PMF c0 round1-3'!B30</f>
        <v>301</v>
      </c>
      <c r="C29">
        <f>'PMF c0 round1-3'!C30</f>
        <v>303</v>
      </c>
      <c r="D29">
        <f>'PMF c0 round1-3'!D30</f>
        <v>311</v>
      </c>
      <c r="E29" s="52">
        <f>'PMF c0 round1-3'!E30+2</f>
        <v>317</v>
      </c>
      <c r="F29" s="52">
        <f>'PMF c0 round1-3'!F30+2</f>
        <v>321</v>
      </c>
    </row>
    <row r="30" spans="1:6" x14ac:dyDescent="0.2">
      <c r="A30" t="str">
        <f>'PMF c0 round1-3'!A31</f>
        <v>PMF_F16_1</v>
      </c>
      <c r="B30">
        <f>'PMF c0 round1-3'!B31</f>
        <v>262</v>
      </c>
      <c r="C30">
        <f>'PMF c0 round1-3'!C31</f>
        <v>264</v>
      </c>
      <c r="D30">
        <f>'PMF c0 round1-3'!D31</f>
        <v>287</v>
      </c>
      <c r="E30">
        <f>'PMF c0 round1-3'!E31</f>
        <v>303</v>
      </c>
      <c r="F30">
        <f>'PMF c0 round1-3'!F31</f>
        <v>319</v>
      </c>
    </row>
    <row r="31" spans="1:6" x14ac:dyDescent="0.2">
      <c r="A31" t="str">
        <f>'PMF c0 round1-3'!A32</f>
        <v>PMF_M8_3_a</v>
      </c>
      <c r="B31">
        <f>'PMF c0 round1-3'!B32</f>
        <v>341</v>
      </c>
      <c r="C31">
        <f>'PMF c0 round1-3'!C32</f>
        <v>343</v>
      </c>
      <c r="D31">
        <f>'PMF c0 round1-3'!D32</f>
        <v>351</v>
      </c>
      <c r="E31" s="52">
        <f>'PMF c0 round1-3'!E32+2</f>
        <v>357</v>
      </c>
      <c r="F31" s="52">
        <f>'PMF c0 round1-3'!F32+2</f>
        <v>361</v>
      </c>
    </row>
    <row r="32" spans="1:6" x14ac:dyDescent="0.2">
      <c r="A32" t="str">
        <f>'PMF c0 round1-3'!A33</f>
        <v xml:space="preserve">PMF_M8_3_b </v>
      </c>
      <c r="B32">
        <f>'PMF c0 round1-3'!B33</f>
        <v>349</v>
      </c>
      <c r="C32">
        <f>'PMF c0 round1-3'!C33</f>
        <v>351</v>
      </c>
      <c r="D32">
        <f>'PMF c0 round1-3'!D33</f>
        <v>359</v>
      </c>
      <c r="E32" s="52">
        <f>'PMF c0 round1-3'!E33+2</f>
        <v>365</v>
      </c>
      <c r="F32" s="52">
        <f>'PMF c0 round1-3'!F33+2</f>
        <v>369</v>
      </c>
    </row>
    <row r="33" spans="1:6" x14ac:dyDescent="0.2">
      <c r="A33" t="str">
        <f>'PMF c0 round1-3'!A34</f>
        <v xml:space="preserve">PMF_F8_3 </v>
      </c>
      <c r="B33">
        <f>'PMF c0 round1-3'!B34</f>
        <v>357</v>
      </c>
      <c r="C33">
        <f>'PMF c0 round1-3'!C34</f>
        <v>359</v>
      </c>
      <c r="D33">
        <f>'PMF c0 round1-3'!D34</f>
        <v>367</v>
      </c>
      <c r="E33" s="52">
        <f>'PMF c0 round1-3'!E34+2</f>
        <v>373</v>
      </c>
      <c r="F33" s="52">
        <f>'PMF c0 round1-3'!F34+2</f>
        <v>377</v>
      </c>
    </row>
    <row r="34" spans="1:6" x14ac:dyDescent="0.2">
      <c r="A34">
        <f>'PMF c0 round1-3'!A35</f>
        <v>0</v>
      </c>
      <c r="B34">
        <f>'PMF c0 round1-3'!B35</f>
        <v>0</v>
      </c>
      <c r="C34">
        <f>'PMF c0 round1-3'!C35</f>
        <v>0</v>
      </c>
      <c r="D34">
        <f>'PMF c0 round1-3'!D35</f>
        <v>0</v>
      </c>
      <c r="E34">
        <f>'PMF c0 round1-3'!E35</f>
        <v>0</v>
      </c>
      <c r="F34">
        <f>'PMF c0 round1-3'!F35</f>
        <v>0</v>
      </c>
    </row>
    <row r="35" spans="1:6" x14ac:dyDescent="0.2">
      <c r="A35">
        <f>'PMF c0 round1-3'!A36</f>
        <v>0</v>
      </c>
      <c r="B35">
        <f>'PMF c0 round1-3'!B36</f>
        <v>0</v>
      </c>
      <c r="C35">
        <f>'PMF c0 round1-3'!C36</f>
        <v>0</v>
      </c>
      <c r="D35">
        <f>'PMF c0 round1-3'!D36</f>
        <v>0</v>
      </c>
      <c r="E35">
        <f>'PMF c0 round1-3'!E36</f>
        <v>0</v>
      </c>
      <c r="F35">
        <f>'PMF c0 round1-3'!F36</f>
        <v>0</v>
      </c>
    </row>
    <row r="36" spans="1:6" x14ac:dyDescent="0.2">
      <c r="A36">
        <f>'PMF c0 round1-3'!A37</f>
        <v>0</v>
      </c>
      <c r="B36">
        <f>'PMF c0 round1-3'!B37</f>
        <v>0</v>
      </c>
      <c r="C36">
        <f>'PMF c0 round1-3'!C37</f>
        <v>0</v>
      </c>
      <c r="D36">
        <f>'PMF c0 round1-3'!D37</f>
        <v>0</v>
      </c>
      <c r="E36">
        <f>'PMF c0 round1-3'!E37</f>
        <v>0</v>
      </c>
      <c r="F36">
        <f>'PMF c0 round1-3'!F37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22B-E97D-444F-8BBA-4F33D9EFBAF8}">
  <dimension ref="A1:AB34"/>
  <sheetViews>
    <sheetView workbookViewId="0">
      <selection activeCell="K24" sqref="K24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52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v0!A70</f>
        <v>Yread latancy</v>
      </c>
      <c r="Q1" t="str">
        <f>v0!B70</f>
        <v>8x8 input cc</v>
      </c>
      <c r="R1" t="str">
        <f>v0!C70</f>
        <v>8x8 work cc</v>
      </c>
      <c r="S1" t="str">
        <f>v0!D70</f>
        <v>8x8 output cc</v>
      </c>
      <c r="U1" t="str">
        <f>v0!G62</f>
        <v>tqitq8x8 input</v>
      </c>
      <c r="V1" t="str">
        <f>v0!H62</f>
        <v>tqitq work</v>
      </c>
      <c r="W1" t="str">
        <f>v0!I62</f>
        <v>tqitq out</v>
      </c>
      <c r="Y1" t="str">
        <f>v0!A68</f>
        <v>Yread latancy</v>
      </c>
      <c r="Z1" t="str">
        <f>v0!B68</f>
        <v>16x16 input cc</v>
      </c>
      <c r="AA1" t="str">
        <f>v0!C68</f>
        <v>16x16 work cc</v>
      </c>
      <c r="AB1" t="str">
        <f>v0!D68</f>
        <v>16x16 output cc</v>
      </c>
    </row>
    <row r="2" spans="1:28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v0!A71</f>
        <v>2</v>
      </c>
      <c r="Q2">
        <f>v0!B71</f>
        <v>8</v>
      </c>
      <c r="R2">
        <f>v0!C71</f>
        <v>4</v>
      </c>
      <c r="S2">
        <f>v0!D71</f>
        <v>4</v>
      </c>
      <c r="U2">
        <f>v0!G63</f>
        <v>4</v>
      </c>
      <c r="V2">
        <f>v0!H63</f>
        <v>23</v>
      </c>
      <c r="W2">
        <f>v0!I63</f>
        <v>1</v>
      </c>
      <c r="Y2">
        <f>v0!A69</f>
        <v>2</v>
      </c>
      <c r="Z2">
        <f>v0!B69</f>
        <v>23</v>
      </c>
      <c r="AA2">
        <f>v0!C69</f>
        <v>-8</v>
      </c>
      <c r="AB2">
        <f>v0!D69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216</v>
      </c>
      <c r="B5">
        <f>'PMF c0 round0'!D20-2</f>
        <v>183</v>
      </c>
      <c r="C5">
        <f>B5+$Y$2</f>
        <v>185</v>
      </c>
      <c r="D5">
        <f>C5+$Z$2</f>
        <v>208</v>
      </c>
      <c r="E5">
        <f>D5+$AA$2</f>
        <v>200</v>
      </c>
      <c r="F5">
        <f>E5+$AB$2</f>
        <v>216</v>
      </c>
    </row>
    <row r="6" spans="1:28" x14ac:dyDescent="0.2">
      <c r="A6" t="s">
        <v>29</v>
      </c>
      <c r="B6">
        <f>D5-2</f>
        <v>206</v>
      </c>
      <c r="C6">
        <f>B6+$P$2</f>
        <v>208</v>
      </c>
      <c r="D6">
        <f>C6+$Q$2</f>
        <v>216</v>
      </c>
      <c r="E6">
        <f>D6+$R$2</f>
        <v>220</v>
      </c>
      <c r="F6">
        <f>E6+$S$2</f>
        <v>224</v>
      </c>
    </row>
    <row r="7" spans="1:28" x14ac:dyDescent="0.2">
      <c r="A7" t="s">
        <v>30</v>
      </c>
      <c r="B7">
        <f>B6+8</f>
        <v>214</v>
      </c>
      <c r="C7">
        <f t="shared" ref="C7:C9" si="0">B7+$P$2</f>
        <v>216</v>
      </c>
      <c r="D7">
        <f t="shared" ref="D7:D9" si="1">C7+$Q$2</f>
        <v>224</v>
      </c>
      <c r="E7">
        <f t="shared" ref="E7:E9" si="2">D7+$R$2</f>
        <v>228</v>
      </c>
      <c r="F7">
        <f t="shared" ref="F7:F9" si="3">E7+$S$2</f>
        <v>232</v>
      </c>
    </row>
    <row r="8" spans="1:28" x14ac:dyDescent="0.2">
      <c r="A8" t="s">
        <v>53</v>
      </c>
      <c r="B8">
        <f>B7+8</f>
        <v>222</v>
      </c>
      <c r="C8">
        <f>B8+$P$2</f>
        <v>224</v>
      </c>
      <c r="D8">
        <f>C8+$Q$2</f>
        <v>232</v>
      </c>
      <c r="E8">
        <f>D8+$R$2</f>
        <v>236</v>
      </c>
      <c r="F8">
        <f>E8+$S$2</f>
        <v>240</v>
      </c>
    </row>
    <row r="9" spans="1:28" x14ac:dyDescent="0.2">
      <c r="A9" t="s">
        <v>31</v>
      </c>
      <c r="B9">
        <f>D8-2</f>
        <v>230</v>
      </c>
      <c r="C9">
        <f t="shared" si="0"/>
        <v>232</v>
      </c>
      <c r="D9">
        <f t="shared" si="1"/>
        <v>240</v>
      </c>
      <c r="E9">
        <f t="shared" si="2"/>
        <v>244</v>
      </c>
      <c r="F9">
        <f t="shared" si="3"/>
        <v>248</v>
      </c>
    </row>
    <row r="10" spans="1:28" x14ac:dyDescent="0.2">
      <c r="A10" t="s">
        <v>48</v>
      </c>
      <c r="C10">
        <f>E9</f>
        <v>244</v>
      </c>
      <c r="D10">
        <f>C10+$U$2</f>
        <v>248</v>
      </c>
      <c r="E10">
        <f>D10+$V$2</f>
        <v>271</v>
      </c>
      <c r="F10">
        <f>E10+$W$2</f>
        <v>272</v>
      </c>
    </row>
    <row r="11" spans="1:28" x14ac:dyDescent="0.2">
      <c r="A11" t="s">
        <v>33</v>
      </c>
      <c r="C11">
        <f>F10</f>
        <v>272</v>
      </c>
      <c r="D11">
        <f>C11+$H$2</f>
        <v>273</v>
      </c>
      <c r="E11">
        <f>D11+$I$2</f>
        <v>274</v>
      </c>
      <c r="F11">
        <f>E11+$J$2</f>
        <v>275</v>
      </c>
    </row>
    <row r="12" spans="1:28" x14ac:dyDescent="0.2">
      <c r="A12" t="s">
        <v>34</v>
      </c>
      <c r="C12">
        <f>F11</f>
        <v>275</v>
      </c>
      <c r="D12">
        <f>C12+$L$2</f>
        <v>276</v>
      </c>
      <c r="E12">
        <f>D12+$M$2</f>
        <v>277</v>
      </c>
      <c r="F12">
        <f>E12+$N$2</f>
        <v>278</v>
      </c>
    </row>
    <row r="13" spans="1:28" x14ac:dyDescent="0.2">
      <c r="A13" t="s">
        <v>44</v>
      </c>
      <c r="B13">
        <f>D31-2</f>
        <v>285</v>
      </c>
      <c r="C13">
        <f>B13+$P$2</f>
        <v>287</v>
      </c>
      <c r="D13">
        <f>C13+$Q$2</f>
        <v>295</v>
      </c>
      <c r="E13">
        <f>D13+$R$2</f>
        <v>299</v>
      </c>
      <c r="F13">
        <f>E13+$S$2</f>
        <v>303</v>
      </c>
    </row>
    <row r="14" spans="1:28" x14ac:dyDescent="0.2">
      <c r="A14" t="s">
        <v>48</v>
      </c>
      <c r="C14">
        <f>E13</f>
        <v>299</v>
      </c>
      <c r="D14">
        <f>C14+$U$2</f>
        <v>303</v>
      </c>
      <c r="E14">
        <f>D14+$V$2</f>
        <v>326</v>
      </c>
      <c r="F14">
        <f>E14+$W$2</f>
        <v>327</v>
      </c>
    </row>
    <row r="15" spans="1:28" x14ac:dyDescent="0.2">
      <c r="A15" t="s">
        <v>33</v>
      </c>
      <c r="C15">
        <f>F14</f>
        <v>327</v>
      </c>
      <c r="D15">
        <f>C15+$H$2</f>
        <v>328</v>
      </c>
      <c r="E15">
        <f>D15+$I$2</f>
        <v>329</v>
      </c>
      <c r="F15">
        <f>E15+$J$2</f>
        <v>330</v>
      </c>
    </row>
    <row r="16" spans="1:28" x14ac:dyDescent="0.2">
      <c r="A16" t="s">
        <v>34</v>
      </c>
      <c r="C16">
        <f>F15</f>
        <v>330</v>
      </c>
      <c r="D16">
        <f>C16+$L$2</f>
        <v>331</v>
      </c>
      <c r="E16">
        <f>D16+$M$2</f>
        <v>332</v>
      </c>
      <c r="F16">
        <f>E16+$N$2</f>
        <v>333</v>
      </c>
    </row>
    <row r="17" spans="1:6" x14ac:dyDescent="0.2">
      <c r="A17" t="s">
        <v>38</v>
      </c>
      <c r="B17">
        <f>F16</f>
        <v>333</v>
      </c>
      <c r="C17">
        <f>B17+$P$2</f>
        <v>335</v>
      </c>
      <c r="D17">
        <f>C17+$Q$2</f>
        <v>343</v>
      </c>
      <c r="E17">
        <f>D17+$R$2</f>
        <v>347</v>
      </c>
      <c r="F17">
        <f>E17+$S$2</f>
        <v>351</v>
      </c>
    </row>
    <row r="18" spans="1:6" x14ac:dyDescent="0.2">
      <c r="A18" t="s">
        <v>37</v>
      </c>
      <c r="C18">
        <f>E17</f>
        <v>347</v>
      </c>
      <c r="D18">
        <f>C18+$U$2</f>
        <v>351</v>
      </c>
      <c r="E18">
        <f>D18+$V$2</f>
        <v>374</v>
      </c>
      <c r="F18">
        <f>E18+$W$2</f>
        <v>375</v>
      </c>
    </row>
    <row r="19" spans="1:6" x14ac:dyDescent="0.2">
      <c r="A19" t="s">
        <v>33</v>
      </c>
      <c r="C19">
        <f>F18</f>
        <v>375</v>
      </c>
      <c r="D19">
        <f>C19+$H$2</f>
        <v>376</v>
      </c>
      <c r="E19">
        <f>D19+$I$2</f>
        <v>377</v>
      </c>
      <c r="F19">
        <f>E19+$J$2</f>
        <v>378</v>
      </c>
    </row>
    <row r="20" spans="1:6" x14ac:dyDescent="0.2">
      <c r="A20" t="s">
        <v>34</v>
      </c>
      <c r="C20">
        <f>F19</f>
        <v>378</v>
      </c>
      <c r="D20">
        <f>C20+$L$2</f>
        <v>379</v>
      </c>
      <c r="E20">
        <f>D20+$M$2</f>
        <v>380</v>
      </c>
      <c r="F20">
        <f>E20+$N$2</f>
        <v>381</v>
      </c>
    </row>
    <row r="21" spans="1:6" x14ac:dyDescent="0.2">
      <c r="A21" t="s">
        <v>42</v>
      </c>
      <c r="B21">
        <f>F20</f>
        <v>381</v>
      </c>
      <c r="C21">
        <f>B21+$P$2</f>
        <v>383</v>
      </c>
      <c r="D21">
        <f>C21+$Q$2</f>
        <v>391</v>
      </c>
      <c r="E21">
        <f>D21+$R$2</f>
        <v>395</v>
      </c>
      <c r="F21">
        <f>E21+$S$2</f>
        <v>399</v>
      </c>
    </row>
    <row r="22" spans="1:6" x14ac:dyDescent="0.2">
      <c r="A22" t="s">
        <v>32</v>
      </c>
      <c r="C22">
        <f>E21</f>
        <v>395</v>
      </c>
      <c r="D22">
        <f>C22+$U$2</f>
        <v>399</v>
      </c>
      <c r="E22">
        <f>D22+$V$2</f>
        <v>422</v>
      </c>
      <c r="F22">
        <f>E22+$W$2</f>
        <v>423</v>
      </c>
    </row>
    <row r="23" spans="1:6" x14ac:dyDescent="0.2">
      <c r="A23" t="s">
        <v>33</v>
      </c>
      <c r="C23">
        <f>F22</f>
        <v>423</v>
      </c>
      <c r="D23">
        <f>C23+$H$2</f>
        <v>424</v>
      </c>
      <c r="E23">
        <f>D23+$I$2</f>
        <v>425</v>
      </c>
      <c r="F23">
        <f>E23+$J$2</f>
        <v>426</v>
      </c>
    </row>
    <row r="24" spans="1:6" x14ac:dyDescent="0.2">
      <c r="A24" t="s">
        <v>34</v>
      </c>
      <c r="C24">
        <f>F23</f>
        <v>426</v>
      </c>
      <c r="D24">
        <f>C24+$L$2</f>
        <v>427</v>
      </c>
      <c r="E24">
        <f>D24+$M$2</f>
        <v>428</v>
      </c>
      <c r="F24">
        <f>E24+$N$2</f>
        <v>429</v>
      </c>
    </row>
    <row r="25" spans="1:6" x14ac:dyDescent="0.2">
      <c r="A25" t="s">
        <v>43</v>
      </c>
      <c r="B25">
        <f>D9-2</f>
        <v>238</v>
      </c>
      <c r="C25">
        <f t="shared" ref="C25:C26" si="4">B25+$P$2</f>
        <v>240</v>
      </c>
      <c r="D25">
        <f t="shared" ref="D25:D26" si="5">C25+$Q$2</f>
        <v>248</v>
      </c>
      <c r="E25">
        <f t="shared" ref="E25:E26" si="6">D25+$R$2</f>
        <v>252</v>
      </c>
      <c r="F25">
        <f t="shared" ref="F25:F26" si="7">E25+$S$2</f>
        <v>256</v>
      </c>
    </row>
    <row r="26" spans="1:6" x14ac:dyDescent="0.2">
      <c r="A26" t="s">
        <v>35</v>
      </c>
      <c r="B26">
        <f>B25+8</f>
        <v>246</v>
      </c>
      <c r="C26">
        <f t="shared" si="4"/>
        <v>248</v>
      </c>
      <c r="D26">
        <f t="shared" si="5"/>
        <v>256</v>
      </c>
      <c r="E26">
        <f t="shared" si="6"/>
        <v>260</v>
      </c>
      <c r="F26">
        <f t="shared" si="7"/>
        <v>264</v>
      </c>
    </row>
    <row r="27" spans="1:6" x14ac:dyDescent="0.2">
      <c r="A27" t="s">
        <v>47</v>
      </c>
      <c r="B27">
        <f>B26+8</f>
        <v>254</v>
      </c>
      <c r="C27">
        <f>B27+$P$2</f>
        <v>256</v>
      </c>
      <c r="D27">
        <f>C27+$Q$2</f>
        <v>264</v>
      </c>
      <c r="E27">
        <f>D27+$R$2</f>
        <v>268</v>
      </c>
      <c r="F27">
        <f>E27+$S$2</f>
        <v>272</v>
      </c>
    </row>
    <row r="28" spans="1:6" x14ac:dyDescent="0.2">
      <c r="A28" t="s">
        <v>49</v>
      </c>
      <c r="B28">
        <f>D30-2</f>
        <v>309</v>
      </c>
      <c r="C28">
        <f>B28+$P$2</f>
        <v>311</v>
      </c>
      <c r="D28">
        <f>C28+$Q$2</f>
        <v>319</v>
      </c>
      <c r="E28">
        <f>D28+$R$2</f>
        <v>323</v>
      </c>
      <c r="F28">
        <f>E28+$S$2</f>
        <v>327</v>
      </c>
    </row>
    <row r="29" spans="1:6" x14ac:dyDescent="0.2">
      <c r="A29" t="s">
        <v>45</v>
      </c>
      <c r="B29">
        <f>B13+8</f>
        <v>293</v>
      </c>
      <c r="C29">
        <f>B29+$P$2</f>
        <v>295</v>
      </c>
      <c r="D29">
        <f>C29+$Q$2</f>
        <v>303</v>
      </c>
      <c r="E29">
        <f>D29+$R$2</f>
        <v>307</v>
      </c>
      <c r="F29">
        <f>E29+$S$2</f>
        <v>311</v>
      </c>
    </row>
    <row r="30" spans="1:6" x14ac:dyDescent="0.2">
      <c r="A30" t="s">
        <v>46</v>
      </c>
      <c r="B30">
        <f>B29+8</f>
        <v>301</v>
      </c>
      <c r="C30">
        <f>B30+$P$2</f>
        <v>303</v>
      </c>
      <c r="D30">
        <f>C30+$Q$2</f>
        <v>311</v>
      </c>
      <c r="E30">
        <f>D30+$R$2</f>
        <v>315</v>
      </c>
      <c r="F30">
        <f>E30+$S$2</f>
        <v>319</v>
      </c>
    </row>
    <row r="31" spans="1:6" x14ac:dyDescent="0.2">
      <c r="A31" t="s">
        <v>197</v>
      </c>
      <c r="B31">
        <f>D27-2</f>
        <v>262</v>
      </c>
      <c r="C31">
        <f>B31+$Y$2</f>
        <v>264</v>
      </c>
      <c r="D31">
        <f>C31+$Z$2</f>
        <v>287</v>
      </c>
      <c r="E31" s="54">
        <f>D31+$AA$2+24</f>
        <v>303</v>
      </c>
      <c r="F31" s="54">
        <f>E31+$AB$2</f>
        <v>319</v>
      </c>
    </row>
    <row r="32" spans="1:6" x14ac:dyDescent="0.2">
      <c r="A32" t="s">
        <v>39</v>
      </c>
      <c r="B32">
        <f>D17-2</f>
        <v>341</v>
      </c>
      <c r="C32">
        <f>B32+$P$2</f>
        <v>343</v>
      </c>
      <c r="D32">
        <f>C32+$Q$2</f>
        <v>351</v>
      </c>
      <c r="E32">
        <f>D32+$R$2</f>
        <v>355</v>
      </c>
      <c r="F32">
        <f>E32+$S$2</f>
        <v>359</v>
      </c>
    </row>
    <row r="33" spans="1:6" x14ac:dyDescent="0.2">
      <c r="A33" t="s">
        <v>40</v>
      </c>
      <c r="B33">
        <f>B32+8</f>
        <v>349</v>
      </c>
      <c r="C33">
        <f>B33+$P$2</f>
        <v>351</v>
      </c>
      <c r="D33">
        <f>C33+$Q$2</f>
        <v>359</v>
      </c>
      <c r="E33">
        <f>D33+$R$2</f>
        <v>363</v>
      </c>
      <c r="F33">
        <f>E33+$S$2</f>
        <v>367</v>
      </c>
    </row>
    <row r="34" spans="1:6" x14ac:dyDescent="0.2">
      <c r="A34" t="s">
        <v>41</v>
      </c>
      <c r="B34">
        <f>D33-2</f>
        <v>357</v>
      </c>
      <c r="C34">
        <f>B34+$P$2</f>
        <v>359</v>
      </c>
      <c r="D34">
        <f>C34+$Q$2</f>
        <v>367</v>
      </c>
      <c r="E34">
        <f>D34+$R$2</f>
        <v>371</v>
      </c>
      <c r="F34">
        <f>E34+$S$2</f>
        <v>375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2D1-4B94-487D-B28D-6E027395071B}">
  <dimension ref="A1:AB22"/>
  <sheetViews>
    <sheetView workbookViewId="0">
      <selection activeCell="F21" sqref="F21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164</v>
      </c>
      <c r="P1" t="str">
        <f>v0!A66</f>
        <v>Yread latancy</v>
      </c>
      <c r="Q1" t="str">
        <f>v0!B66</f>
        <v>32x32 input cc</v>
      </c>
      <c r="R1" t="str">
        <f>v0!C66</f>
        <v>32x32 work cc</v>
      </c>
      <c r="S1" t="str">
        <f>v0!D66</f>
        <v>32x32 output cc</v>
      </c>
      <c r="Y1" t="str">
        <f>v0!A68</f>
        <v>Yread latancy</v>
      </c>
      <c r="Z1" t="str">
        <f>v0!B68</f>
        <v>16x16 input cc</v>
      </c>
      <c r="AA1" t="str">
        <f>v0!C68</f>
        <v>16x16 work cc</v>
      </c>
      <c r="AB1" t="str">
        <f>v0!D68</f>
        <v>16x16 output cc</v>
      </c>
    </row>
    <row r="2" spans="1:28" x14ac:dyDescent="0.2">
      <c r="A2" t="s">
        <v>1</v>
      </c>
      <c r="B2" t="s">
        <v>2</v>
      </c>
      <c r="P2">
        <f>v0!A67</f>
        <v>2</v>
      </c>
      <c r="Q2">
        <f>v0!B67</f>
        <v>78</v>
      </c>
      <c r="R2">
        <f>v0!C67</f>
        <v>-24</v>
      </c>
      <c r="S2">
        <f>v0!D67</f>
        <v>64</v>
      </c>
      <c r="Y2">
        <f>v0!A69</f>
        <v>2</v>
      </c>
      <c r="Z2">
        <f>v0!B69</f>
        <v>23</v>
      </c>
      <c r="AA2">
        <f>v0!C69</f>
        <v>-8</v>
      </c>
      <c r="AB2">
        <f>v0!D69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189</v>
      </c>
      <c r="B5">
        <v>0</v>
      </c>
      <c r="C5">
        <f>B5+$Y$2</f>
        <v>2</v>
      </c>
      <c r="D5">
        <f>C5+$Z$2</f>
        <v>25</v>
      </c>
      <c r="E5">
        <f>D5+$AA$2</f>
        <v>17</v>
      </c>
      <c r="F5">
        <f>E5+$AB$2</f>
        <v>33</v>
      </c>
    </row>
    <row r="6" spans="1:28" x14ac:dyDescent="0.2">
      <c r="A6" t="s">
        <v>190</v>
      </c>
      <c r="B6">
        <f t="shared" ref="B6:B21" si="0">D5-2</f>
        <v>23</v>
      </c>
      <c r="C6">
        <f>B6+$Y$2</f>
        <v>25</v>
      </c>
      <c r="D6">
        <f>C6+$Z$2</f>
        <v>48</v>
      </c>
      <c r="E6">
        <f>D6+$AA$2</f>
        <v>40</v>
      </c>
      <c r="F6">
        <f>E6+$AB$2</f>
        <v>56</v>
      </c>
    </row>
    <row r="7" spans="1:28" x14ac:dyDescent="0.2">
      <c r="A7" t="s">
        <v>191</v>
      </c>
      <c r="B7">
        <f t="shared" ref="B7" si="1">D6-2</f>
        <v>46</v>
      </c>
      <c r="C7">
        <f>B7+$Y$2</f>
        <v>48</v>
      </c>
      <c r="D7">
        <f>C7+$Z$2</f>
        <v>71</v>
      </c>
      <c r="E7" s="54">
        <f>D7+$AA$2+18</f>
        <v>81</v>
      </c>
      <c r="F7" s="54">
        <f>E7+$AB$2</f>
        <v>97</v>
      </c>
    </row>
    <row r="8" spans="1:28" x14ac:dyDescent="0.2">
      <c r="A8" t="s">
        <v>56</v>
      </c>
      <c r="B8">
        <f>D7-2</f>
        <v>69</v>
      </c>
      <c r="C8">
        <f>B8+$P$2</f>
        <v>71</v>
      </c>
      <c r="D8">
        <f>C8+$Q$2</f>
        <v>149</v>
      </c>
      <c r="E8">
        <f>D8+$R$2</f>
        <v>125</v>
      </c>
      <c r="F8">
        <f>E8+$S$2</f>
        <v>189</v>
      </c>
    </row>
    <row r="9" spans="1:28" x14ac:dyDescent="0.2">
      <c r="A9" t="s">
        <v>57</v>
      </c>
      <c r="B9">
        <f t="shared" si="0"/>
        <v>147</v>
      </c>
      <c r="C9">
        <f>B9+$P$2</f>
        <v>149</v>
      </c>
      <c r="D9">
        <f>C9+$Q$2</f>
        <v>227</v>
      </c>
      <c r="E9">
        <f>D9+$R$2</f>
        <v>203</v>
      </c>
      <c r="F9">
        <f>E9+$S$2</f>
        <v>267</v>
      </c>
    </row>
    <row r="14" spans="1:28" x14ac:dyDescent="0.2">
      <c r="E14" s="52"/>
      <c r="F14" s="52"/>
    </row>
    <row r="18" spans="1:11" x14ac:dyDescent="0.2">
      <c r="E18" s="52"/>
      <c r="F18" s="52"/>
    </row>
    <row r="19" spans="1:11" s="1" customFormat="1" x14ac:dyDescent="0.2">
      <c r="A19"/>
      <c r="B19"/>
      <c r="C19"/>
      <c r="D19"/>
      <c r="E19" s="52"/>
      <c r="F19" s="52"/>
      <c r="H19"/>
      <c r="I19"/>
      <c r="J19"/>
      <c r="K19"/>
    </row>
    <row r="21" spans="1:11" x14ac:dyDescent="0.2">
      <c r="A21" s="1"/>
      <c r="B21" s="1"/>
      <c r="C21" s="1"/>
      <c r="D21" s="1"/>
      <c r="E21" s="1"/>
      <c r="F21" s="1"/>
    </row>
    <row r="22" spans="1:11" x14ac:dyDescent="0.2">
      <c r="A22" s="1"/>
      <c r="B22" s="1"/>
      <c r="C22" s="1"/>
      <c r="D22" s="1"/>
      <c r="E22" s="1"/>
      <c r="F22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35D-8E9C-49DD-90BB-C1E547C10ACE}">
  <dimension ref="A1:AB16"/>
  <sheetViews>
    <sheetView workbookViewId="0">
      <selection activeCell="A14" sqref="A14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209</v>
      </c>
      <c r="P1" t="str">
        <f>v0!A66</f>
        <v>Yread latancy</v>
      </c>
      <c r="Q1" t="str">
        <f>v0!B66</f>
        <v>32x32 input cc</v>
      </c>
      <c r="R1" t="str">
        <f>v0!C66</f>
        <v>32x32 work cc</v>
      </c>
      <c r="S1" t="str">
        <f>v0!D66</f>
        <v>32x32 output cc</v>
      </c>
      <c r="Y1" t="str">
        <f>v0!A68</f>
        <v>Yread latancy</v>
      </c>
      <c r="Z1" t="str">
        <f>v0!B68</f>
        <v>16x16 input cc</v>
      </c>
      <c r="AA1" t="str">
        <f>v0!C68</f>
        <v>16x16 work cc</v>
      </c>
      <c r="AB1" t="str">
        <f>v0!D68</f>
        <v>16x16 output cc</v>
      </c>
    </row>
    <row r="2" spans="1:28" x14ac:dyDescent="0.2">
      <c r="A2" t="s">
        <v>1</v>
      </c>
      <c r="B2" t="s">
        <v>2</v>
      </c>
      <c r="P2">
        <f>v0!A67</f>
        <v>2</v>
      </c>
      <c r="Q2">
        <f>v0!B67</f>
        <v>78</v>
      </c>
      <c r="R2">
        <f>v0!C67</f>
        <v>-24</v>
      </c>
      <c r="S2">
        <f>v0!D67</f>
        <v>64</v>
      </c>
      <c r="Y2">
        <f>v0!A69</f>
        <v>2</v>
      </c>
      <c r="Z2">
        <f>v0!B69</f>
        <v>23</v>
      </c>
      <c r="AA2">
        <f>v0!C69</f>
        <v>-8</v>
      </c>
      <c r="AB2">
        <f>v0!D69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195</v>
      </c>
      <c r="B5">
        <v>225</v>
      </c>
      <c r="C5">
        <f>B5+$Y$2</f>
        <v>227</v>
      </c>
      <c r="D5">
        <f>C5+$Z$2</f>
        <v>250</v>
      </c>
      <c r="E5">
        <f>D5+$AA$2</f>
        <v>242</v>
      </c>
      <c r="F5">
        <f>E5+$AB$2</f>
        <v>258</v>
      </c>
    </row>
    <row r="6" spans="1:28" x14ac:dyDescent="0.2">
      <c r="A6" t="s">
        <v>58</v>
      </c>
      <c r="B6">
        <f t="shared" ref="B6:B14" si="0">D5-2</f>
        <v>248</v>
      </c>
      <c r="C6">
        <f>B6+$Y$2</f>
        <v>250</v>
      </c>
      <c r="D6">
        <f>C6+$Z$2</f>
        <v>273</v>
      </c>
      <c r="E6" s="54">
        <f>D6+$AA$2+18</f>
        <v>283</v>
      </c>
      <c r="F6" s="54">
        <f>E6+$AB$2</f>
        <v>299</v>
      </c>
    </row>
    <row r="7" spans="1:28" x14ac:dyDescent="0.2">
      <c r="A7" t="s">
        <v>59</v>
      </c>
      <c r="B7">
        <f>D6-2</f>
        <v>271</v>
      </c>
      <c r="C7">
        <f>B7+$P$2</f>
        <v>273</v>
      </c>
      <c r="D7">
        <f>C7+$Q$2</f>
        <v>351</v>
      </c>
      <c r="E7" s="53">
        <f>D7+$R$2+75</f>
        <v>402</v>
      </c>
      <c r="F7" s="53">
        <f>E7+64</f>
        <v>466</v>
      </c>
    </row>
    <row r="8" spans="1:28" x14ac:dyDescent="0.2">
      <c r="A8" t="s">
        <v>60</v>
      </c>
      <c r="B8">
        <f>D7-2</f>
        <v>349</v>
      </c>
      <c r="C8">
        <f>B8+$P$2</f>
        <v>351</v>
      </c>
      <c r="D8">
        <f>C8+$Q$2</f>
        <v>429</v>
      </c>
      <c r="E8" s="54">
        <f>D8+$R$2+61</f>
        <v>466</v>
      </c>
      <c r="F8" s="54">
        <f>E8+$S$2</f>
        <v>530</v>
      </c>
    </row>
    <row r="9" spans="1:28" x14ac:dyDescent="0.2">
      <c r="A9" t="s">
        <v>194</v>
      </c>
      <c r="B9">
        <f>D8-2</f>
        <v>427</v>
      </c>
      <c r="C9">
        <f>B9+$Y$2</f>
        <v>429</v>
      </c>
      <c r="D9">
        <f>C9+$Z$2</f>
        <v>452</v>
      </c>
      <c r="E9">
        <f>D9+$AA$2</f>
        <v>444</v>
      </c>
      <c r="F9">
        <f>E9+$AB$2</f>
        <v>460</v>
      </c>
    </row>
    <row r="10" spans="1:28" x14ac:dyDescent="0.2">
      <c r="A10" t="s">
        <v>61</v>
      </c>
      <c r="B10">
        <f>D9-2</f>
        <v>450</v>
      </c>
      <c r="C10">
        <f>B10+$Y$2</f>
        <v>452</v>
      </c>
      <c r="D10">
        <f>C10+$Z$2</f>
        <v>475</v>
      </c>
      <c r="E10" s="54">
        <f>D10+$AA$2+18</f>
        <v>485</v>
      </c>
      <c r="F10" s="54">
        <f>E10+$AB$2</f>
        <v>501</v>
      </c>
    </row>
    <row r="11" spans="1:28" x14ac:dyDescent="0.2">
      <c r="A11" t="s">
        <v>165</v>
      </c>
      <c r="B11" s="54">
        <f>D10-1</f>
        <v>474</v>
      </c>
      <c r="C11">
        <f>B11+$P$2</f>
        <v>476</v>
      </c>
      <c r="D11">
        <f>C11+$Q$2</f>
        <v>554</v>
      </c>
      <c r="E11" s="56">
        <f>D11+$R$2</f>
        <v>530</v>
      </c>
      <c r="F11" s="56">
        <f>E11+$S$2</f>
        <v>594</v>
      </c>
    </row>
    <row r="12" spans="1:28" x14ac:dyDescent="0.2">
      <c r="A12" t="s">
        <v>166</v>
      </c>
      <c r="B12">
        <f t="shared" si="0"/>
        <v>552</v>
      </c>
      <c r="C12">
        <f>B12+$P$2</f>
        <v>554</v>
      </c>
      <c r="D12">
        <f>C12+$Q$2</f>
        <v>632</v>
      </c>
      <c r="E12" s="56">
        <f>D12+$R$2</f>
        <v>608</v>
      </c>
      <c r="F12" s="56">
        <f>E12+$S$2</f>
        <v>672</v>
      </c>
    </row>
    <row r="13" spans="1:28" x14ac:dyDescent="0.2">
      <c r="A13" s="1" t="s">
        <v>192</v>
      </c>
      <c r="B13" s="1">
        <f>D12-2</f>
        <v>630</v>
      </c>
      <c r="C13" s="1">
        <f>B13+$Y$2</f>
        <v>632</v>
      </c>
      <c r="D13" s="1">
        <f>C13+$Z$2</f>
        <v>655</v>
      </c>
      <c r="E13" s="1">
        <f>D13+$AA$2</f>
        <v>647</v>
      </c>
      <c r="F13" s="1">
        <f>E13+$AB$2</f>
        <v>663</v>
      </c>
    </row>
    <row r="14" spans="1:28" x14ac:dyDescent="0.2">
      <c r="A14" s="1" t="s">
        <v>193</v>
      </c>
      <c r="B14" s="1">
        <f t="shared" si="0"/>
        <v>653</v>
      </c>
      <c r="C14" s="1">
        <f>B14+$Y$2</f>
        <v>655</v>
      </c>
      <c r="D14" s="1">
        <f>C14+$Z$2</f>
        <v>678</v>
      </c>
      <c r="E14" s="55">
        <f>D14+$AA$2</f>
        <v>670</v>
      </c>
      <c r="F14" s="55">
        <f>E14+$AB$2</f>
        <v>686</v>
      </c>
    </row>
    <row r="15" spans="1:28" x14ac:dyDescent="0.2">
      <c r="A15" s="2" t="s">
        <v>210</v>
      </c>
      <c r="E15">
        <f>F10</f>
        <v>501</v>
      </c>
      <c r="F15">
        <f>E15+16</f>
        <v>517</v>
      </c>
    </row>
    <row r="16" spans="1:28" s="1" customFormat="1" x14ac:dyDescent="0.2">
      <c r="A16" s="2" t="s">
        <v>211</v>
      </c>
      <c r="B16"/>
      <c r="C16"/>
      <c r="D16"/>
      <c r="E16">
        <f>F14</f>
        <v>686</v>
      </c>
      <c r="F16">
        <f>E16+16</f>
        <v>702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626-4856-4809-BCBC-22045DDF3972}">
  <dimension ref="A1:AB34"/>
  <sheetViews>
    <sheetView workbookViewId="0">
      <selection activeCell="K33" sqref="K33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  <col min="16" max="16" width="10.75" customWidth="1"/>
    <col min="17" max="17" width="10.625" customWidth="1"/>
    <col min="18" max="18" width="11.25" customWidth="1"/>
  </cols>
  <sheetData>
    <row r="1" spans="1:28" x14ac:dyDescent="0.2">
      <c r="A1" t="s">
        <v>0</v>
      </c>
      <c r="B1" t="s">
        <v>162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v0!A78</f>
        <v>UVread latancy</v>
      </c>
      <c r="Q1" t="str">
        <f>v0!B78</f>
        <v>4x4 input cc</v>
      </c>
      <c r="R1" t="str">
        <f>v0!C78</f>
        <v>4x4 work cc</v>
      </c>
      <c r="S1" t="str">
        <f>v0!D78</f>
        <v>4x4 output cc</v>
      </c>
      <c r="U1" t="str">
        <f>v0!G64</f>
        <v>tqitq4x4 input</v>
      </c>
      <c r="V1" t="str">
        <f>v0!H64</f>
        <v>tqitq work</v>
      </c>
      <c r="W1" t="str">
        <f>v0!I64</f>
        <v>tqitq out</v>
      </c>
      <c r="Y1" t="str">
        <f>v0!A76</f>
        <v>UVread latancy</v>
      </c>
      <c r="Z1" t="str">
        <f>v0!B76</f>
        <v>8x8 input cc</v>
      </c>
      <c r="AA1" t="str">
        <f>v0!C76</f>
        <v>8x8 work cc</v>
      </c>
      <c r="AB1" t="str">
        <f>v0!D76</f>
        <v>8x8 output cc</v>
      </c>
    </row>
    <row r="2" spans="1:28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v0!A79</f>
        <v>2</v>
      </c>
      <c r="Q2">
        <f>v0!B79</f>
        <v>8</v>
      </c>
      <c r="R2">
        <f>v0!C79</f>
        <v>2</v>
      </c>
      <c r="S2">
        <f>v0!D79</f>
        <v>2</v>
      </c>
      <c r="U2">
        <f>v0!G65</f>
        <v>1</v>
      </c>
      <c r="V2">
        <f>v0!H65</f>
        <v>14</v>
      </c>
      <c r="W2">
        <f>v0!I65</f>
        <v>1</v>
      </c>
      <c r="Y2">
        <f>v0!A77</f>
        <v>2</v>
      </c>
      <c r="Z2">
        <f>v0!B77</f>
        <v>22</v>
      </c>
      <c r="AA2">
        <f>v0!C77</f>
        <v>0</v>
      </c>
      <c r="AB2">
        <f>v0!D77</f>
        <v>8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219</v>
      </c>
      <c r="B5">
        <v>0</v>
      </c>
      <c r="C5">
        <f>B5+$P$2</f>
        <v>2</v>
      </c>
      <c r="D5">
        <f>C5+$Q$2</f>
        <v>10</v>
      </c>
      <c r="E5">
        <f>D5+$R$2</f>
        <v>12</v>
      </c>
      <c r="F5">
        <f>E5+$S$2</f>
        <v>14</v>
      </c>
    </row>
    <row r="6" spans="1:28" x14ac:dyDescent="0.2">
      <c r="A6" t="s">
        <v>137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20</v>
      </c>
      <c r="F6">
        <f t="shared" ref="F6:F8" si="3">E6+$S$2</f>
        <v>22</v>
      </c>
    </row>
    <row r="7" spans="1:28" x14ac:dyDescent="0.2">
      <c r="A7" t="s">
        <v>138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28</v>
      </c>
      <c r="F7">
        <f t="shared" si="3"/>
        <v>30</v>
      </c>
    </row>
    <row r="8" spans="1:28" x14ac:dyDescent="0.2">
      <c r="A8" t="s">
        <v>149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36</v>
      </c>
      <c r="F8">
        <f t="shared" si="3"/>
        <v>38</v>
      </c>
    </row>
    <row r="9" spans="1:28" x14ac:dyDescent="0.2">
      <c r="A9" t="s">
        <v>150</v>
      </c>
      <c r="C9">
        <f>E8</f>
        <v>36</v>
      </c>
      <c r="D9">
        <f>C9+$U$2</f>
        <v>37</v>
      </c>
      <c r="E9">
        <f>D9+$V$2</f>
        <v>51</v>
      </c>
      <c r="F9">
        <f>E9+$W$2</f>
        <v>52</v>
      </c>
    </row>
    <row r="10" spans="1:28" x14ac:dyDescent="0.2">
      <c r="A10" t="s">
        <v>154</v>
      </c>
      <c r="C10">
        <f>F9</f>
        <v>52</v>
      </c>
      <c r="D10">
        <f>C10+$H$2</f>
        <v>53</v>
      </c>
      <c r="E10">
        <f>D10+$I$2</f>
        <v>54</v>
      </c>
      <c r="F10">
        <f>E10+$J$2</f>
        <v>55</v>
      </c>
    </row>
    <row r="11" spans="1:28" x14ac:dyDescent="0.2">
      <c r="A11" t="s">
        <v>155</v>
      </c>
      <c r="C11">
        <f>F10</f>
        <v>55</v>
      </c>
      <c r="D11">
        <f>C11+$L$2</f>
        <v>56</v>
      </c>
      <c r="E11">
        <f>D11+$M$2</f>
        <v>57</v>
      </c>
      <c r="F11">
        <f>E11+$N$2</f>
        <v>58</v>
      </c>
    </row>
    <row r="12" spans="1:28" x14ac:dyDescent="0.2">
      <c r="A12" t="s">
        <v>139</v>
      </c>
      <c r="B12">
        <f>D31-2</f>
        <v>78</v>
      </c>
      <c r="C12">
        <f>B12+$P$2</f>
        <v>80</v>
      </c>
      <c r="D12">
        <f>C12+$Q$2</f>
        <v>88</v>
      </c>
      <c r="E12">
        <f>D12+$R$2</f>
        <v>90</v>
      </c>
      <c r="F12">
        <f>E12+$S$2</f>
        <v>92</v>
      </c>
    </row>
    <row r="13" spans="1:28" x14ac:dyDescent="0.2">
      <c r="A13" t="s">
        <v>140</v>
      </c>
      <c r="C13">
        <f>E12</f>
        <v>90</v>
      </c>
      <c r="D13">
        <f>C13+$U$2</f>
        <v>91</v>
      </c>
      <c r="E13">
        <f>D13+$V$2</f>
        <v>105</v>
      </c>
      <c r="F13">
        <f>E13+$W$2</f>
        <v>106</v>
      </c>
    </row>
    <row r="14" spans="1:28" x14ac:dyDescent="0.2">
      <c r="A14" t="s">
        <v>154</v>
      </c>
      <c r="C14">
        <f>F13</f>
        <v>106</v>
      </c>
      <c r="D14">
        <f>C14+$H$2</f>
        <v>107</v>
      </c>
      <c r="E14">
        <f>D14+$I$2</f>
        <v>108</v>
      </c>
      <c r="F14">
        <f>E14+$J$2</f>
        <v>109</v>
      </c>
    </row>
    <row r="15" spans="1:28" x14ac:dyDescent="0.2">
      <c r="A15" t="s">
        <v>155</v>
      </c>
      <c r="C15">
        <f>F14</f>
        <v>109</v>
      </c>
      <c r="D15">
        <f>C15+$L$2</f>
        <v>110</v>
      </c>
      <c r="E15">
        <f>D15+$M$2</f>
        <v>111</v>
      </c>
      <c r="F15">
        <f>E15+$N$2</f>
        <v>112</v>
      </c>
    </row>
    <row r="16" spans="1:28" x14ac:dyDescent="0.2">
      <c r="A16" t="s">
        <v>141</v>
      </c>
      <c r="B16">
        <f>F15</f>
        <v>112</v>
      </c>
      <c r="C16">
        <f>B16+$P$2</f>
        <v>114</v>
      </c>
      <c r="D16">
        <f>C16+$Q$2</f>
        <v>122</v>
      </c>
      <c r="E16">
        <f>D16+$R$2</f>
        <v>124</v>
      </c>
      <c r="F16">
        <f>E16+$S$2</f>
        <v>126</v>
      </c>
    </row>
    <row r="17" spans="1:6" x14ac:dyDescent="0.2">
      <c r="A17" t="s">
        <v>140</v>
      </c>
      <c r="C17">
        <f>E16</f>
        <v>124</v>
      </c>
      <c r="D17">
        <f>C17+$U$2</f>
        <v>125</v>
      </c>
      <c r="E17">
        <f>D17+$V$2</f>
        <v>139</v>
      </c>
      <c r="F17">
        <f>E17+$W$2</f>
        <v>140</v>
      </c>
    </row>
    <row r="18" spans="1:6" x14ac:dyDescent="0.2">
      <c r="A18" t="s">
        <v>154</v>
      </c>
      <c r="C18">
        <f>F17</f>
        <v>140</v>
      </c>
      <c r="D18">
        <f>C18+$H$2</f>
        <v>141</v>
      </c>
      <c r="E18">
        <f>D18+$I$2</f>
        <v>142</v>
      </c>
      <c r="F18">
        <f>E18+$J$2</f>
        <v>143</v>
      </c>
    </row>
    <row r="19" spans="1:6" x14ac:dyDescent="0.2">
      <c r="A19" t="s">
        <v>155</v>
      </c>
      <c r="C19">
        <f>F18</f>
        <v>143</v>
      </c>
      <c r="D19">
        <f>C19+$L$2</f>
        <v>144</v>
      </c>
      <c r="E19">
        <f>D19+$M$2</f>
        <v>145</v>
      </c>
      <c r="F19">
        <f>E19+$N$2</f>
        <v>146</v>
      </c>
    </row>
    <row r="20" spans="1:6" x14ac:dyDescent="0.2">
      <c r="A20" t="s">
        <v>142</v>
      </c>
      <c r="B20">
        <f>F19</f>
        <v>146</v>
      </c>
      <c r="C20">
        <f>B20+$P$2</f>
        <v>148</v>
      </c>
      <c r="D20">
        <f>C20+$Q$2</f>
        <v>156</v>
      </c>
      <c r="E20">
        <f>D20+$R$2</f>
        <v>158</v>
      </c>
      <c r="F20">
        <f>E20+$S$2</f>
        <v>160</v>
      </c>
    </row>
    <row r="21" spans="1:6" x14ac:dyDescent="0.2">
      <c r="A21" t="s">
        <v>150</v>
      </c>
      <c r="C21">
        <f>E20</f>
        <v>158</v>
      </c>
      <c r="D21">
        <f>C21+$U$2</f>
        <v>159</v>
      </c>
      <c r="E21">
        <f>D21+$V$2</f>
        <v>173</v>
      </c>
      <c r="F21">
        <f>E21+$W$2</f>
        <v>174</v>
      </c>
    </row>
    <row r="22" spans="1:6" x14ac:dyDescent="0.2">
      <c r="A22" t="s">
        <v>154</v>
      </c>
      <c r="C22">
        <f>F21</f>
        <v>174</v>
      </c>
      <c r="D22">
        <f>C22+$H$2</f>
        <v>175</v>
      </c>
      <c r="E22">
        <f>D22+$I$2</f>
        <v>176</v>
      </c>
      <c r="F22">
        <f>E22+$J$2</f>
        <v>177</v>
      </c>
    </row>
    <row r="23" spans="1:6" x14ac:dyDescent="0.2">
      <c r="A23" t="s">
        <v>155</v>
      </c>
      <c r="C23">
        <f>F22</f>
        <v>177</v>
      </c>
      <c r="D23">
        <f>C23+$L$2</f>
        <v>178</v>
      </c>
      <c r="E23">
        <f>D23+$M$2</f>
        <v>179</v>
      </c>
      <c r="F23">
        <f>E23+$N$2</f>
        <v>180</v>
      </c>
    </row>
    <row r="24" spans="1:6" x14ac:dyDescent="0.2">
      <c r="A24" t="s">
        <v>22</v>
      </c>
      <c r="D24">
        <f>F23</f>
        <v>180</v>
      </c>
      <c r="E24">
        <f>D24+7</f>
        <v>187</v>
      </c>
      <c r="F24">
        <f>E24+1</f>
        <v>188</v>
      </c>
    </row>
    <row r="25" spans="1:6" x14ac:dyDescent="0.2">
      <c r="A25" t="s">
        <v>143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44</v>
      </c>
      <c r="F25">
        <f t="shared" ref="F25:F26" si="7">E25+$S$2</f>
        <v>46</v>
      </c>
    </row>
    <row r="26" spans="1:6" x14ac:dyDescent="0.2">
      <c r="A26" t="s">
        <v>144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52</v>
      </c>
      <c r="F26">
        <f t="shared" si="7"/>
        <v>54</v>
      </c>
    </row>
    <row r="27" spans="1:6" x14ac:dyDescent="0.2">
      <c r="A27" t="s">
        <v>151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60</v>
      </c>
      <c r="F27">
        <f>E27+$S$2</f>
        <v>62</v>
      </c>
    </row>
    <row r="28" spans="1:6" x14ac:dyDescent="0.2">
      <c r="A28" t="s">
        <v>152</v>
      </c>
      <c r="B28">
        <f>D30-2</f>
        <v>102</v>
      </c>
      <c r="C28">
        <f>B28+$P$2</f>
        <v>104</v>
      </c>
      <c r="D28">
        <f>C28+$Q$2</f>
        <v>112</v>
      </c>
      <c r="E28">
        <f>D28+$R$2</f>
        <v>114</v>
      </c>
      <c r="F28">
        <f>E28+$S$2</f>
        <v>116</v>
      </c>
    </row>
    <row r="29" spans="1:6" x14ac:dyDescent="0.2">
      <c r="A29" t="s">
        <v>145</v>
      </c>
      <c r="B29">
        <f>B12+8</f>
        <v>86</v>
      </c>
      <c r="C29">
        <f>B29+$P$2</f>
        <v>88</v>
      </c>
      <c r="D29">
        <f>C29+$Q$2</f>
        <v>96</v>
      </c>
      <c r="E29">
        <f>D29+$R$2</f>
        <v>98</v>
      </c>
      <c r="F29">
        <f>E29+$S$2</f>
        <v>100</v>
      </c>
    </row>
    <row r="30" spans="1:6" x14ac:dyDescent="0.2">
      <c r="A30" t="s">
        <v>146</v>
      </c>
      <c r="B30">
        <f>B29+8</f>
        <v>94</v>
      </c>
      <c r="C30">
        <f>B30+$P$2</f>
        <v>96</v>
      </c>
      <c r="D30">
        <f>C30+$Q$2</f>
        <v>104</v>
      </c>
      <c r="E30">
        <f>D30+$R$2</f>
        <v>106</v>
      </c>
      <c r="F30">
        <f>E30+$S$2</f>
        <v>108</v>
      </c>
    </row>
    <row r="31" spans="1:6" x14ac:dyDescent="0.2">
      <c r="A31" t="s">
        <v>50</v>
      </c>
      <c r="B31">
        <f>D27-2</f>
        <v>56</v>
      </c>
      <c r="C31">
        <f>B31+$Y$2</f>
        <v>58</v>
      </c>
      <c r="D31">
        <f>C31+$Z$2</f>
        <v>80</v>
      </c>
      <c r="E31">
        <f>D31+$AA$2</f>
        <v>80</v>
      </c>
      <c r="F31">
        <f>E31+$AB$2</f>
        <v>88</v>
      </c>
    </row>
    <row r="32" spans="1:6" x14ac:dyDescent="0.2">
      <c r="A32" t="s">
        <v>147</v>
      </c>
      <c r="B32">
        <f>D16-2</f>
        <v>120</v>
      </c>
      <c r="C32">
        <f>B32+$P$2</f>
        <v>122</v>
      </c>
      <c r="D32">
        <f>C32+$Q$2</f>
        <v>130</v>
      </c>
      <c r="E32">
        <f>D32+$R$2</f>
        <v>132</v>
      </c>
      <c r="F32">
        <f>E32+$S$2</f>
        <v>134</v>
      </c>
    </row>
    <row r="33" spans="1:6" x14ac:dyDescent="0.2">
      <c r="A33" t="s">
        <v>148</v>
      </c>
      <c r="B33">
        <f>B32+8</f>
        <v>128</v>
      </c>
      <c r="C33">
        <f>B33+$P$2</f>
        <v>130</v>
      </c>
      <c r="D33">
        <f>C33+$Q$2</f>
        <v>138</v>
      </c>
      <c r="E33">
        <f>D33+$R$2</f>
        <v>140</v>
      </c>
      <c r="F33">
        <f>E33+$S$2</f>
        <v>142</v>
      </c>
    </row>
    <row r="34" spans="1:6" x14ac:dyDescent="0.2">
      <c r="A34" t="s">
        <v>153</v>
      </c>
      <c r="B34">
        <f>D33-2</f>
        <v>136</v>
      </c>
      <c r="C34">
        <f>B34+$P$2</f>
        <v>138</v>
      </c>
      <c r="D34">
        <f>C34+$Q$2</f>
        <v>146</v>
      </c>
      <c r="E34">
        <f>D34+$R$2</f>
        <v>148</v>
      </c>
      <c r="F34">
        <f>E34+$S$2</f>
        <v>150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E0C-CAEA-452F-9B6F-FDBECCDE339D}">
  <dimension ref="A1:AB34"/>
  <sheetViews>
    <sheetView workbookViewId="0">
      <selection activeCell="H34" sqref="H34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</cols>
  <sheetData>
    <row r="1" spans="1:28" x14ac:dyDescent="0.2">
      <c r="A1" t="s">
        <v>0</v>
      </c>
      <c r="B1" t="s">
        <v>188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v0!A78</f>
        <v>UVread latancy</v>
      </c>
      <c r="Q1" t="str">
        <f>v0!B78</f>
        <v>4x4 input cc</v>
      </c>
      <c r="R1" t="str">
        <f>v0!C78</f>
        <v>4x4 work cc</v>
      </c>
      <c r="S1" t="str">
        <f>v0!D78</f>
        <v>4x4 output cc</v>
      </c>
      <c r="U1" t="str">
        <f>v0!G64</f>
        <v>tqitq4x4 input</v>
      </c>
      <c r="V1" t="str">
        <f>v0!H64</f>
        <v>tqitq work</v>
      </c>
      <c r="W1" t="str">
        <f>v0!I64</f>
        <v>tqitq out</v>
      </c>
      <c r="Y1" t="str">
        <f>v0!A76</f>
        <v>UVread latancy</v>
      </c>
      <c r="Z1" t="str">
        <f>v0!B76</f>
        <v>8x8 input cc</v>
      </c>
      <c r="AA1" t="str">
        <f>v0!C76</f>
        <v>8x8 work cc</v>
      </c>
      <c r="AB1" t="str">
        <f>v0!D76</f>
        <v>8x8 output cc</v>
      </c>
    </row>
    <row r="2" spans="1:28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v0!A79</f>
        <v>2</v>
      </c>
      <c r="Q2">
        <f>v0!B79</f>
        <v>8</v>
      </c>
      <c r="R2">
        <f>v0!C79</f>
        <v>2</v>
      </c>
      <c r="S2">
        <f>v0!D79</f>
        <v>2</v>
      </c>
      <c r="U2">
        <f>v0!G65</f>
        <v>1</v>
      </c>
      <c r="V2">
        <f>v0!H65</f>
        <v>14</v>
      </c>
      <c r="W2">
        <f>v0!I65</f>
        <v>1</v>
      </c>
      <c r="Y2">
        <f>v0!A77</f>
        <v>2</v>
      </c>
      <c r="Z2">
        <f>v0!B77</f>
        <v>22</v>
      </c>
      <c r="AA2">
        <f>v0!C77</f>
        <v>0</v>
      </c>
      <c r="AB2">
        <f>v0!D77</f>
        <v>8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136</v>
      </c>
      <c r="B5">
        <f>208-24</f>
        <v>184</v>
      </c>
      <c r="C5">
        <f>B5+$P$2</f>
        <v>186</v>
      </c>
      <c r="D5">
        <f>C5+$Q$2</f>
        <v>194</v>
      </c>
      <c r="E5">
        <f>D5+$R$2</f>
        <v>196</v>
      </c>
      <c r="F5">
        <f>E5+$S$2</f>
        <v>198</v>
      </c>
    </row>
    <row r="6" spans="1:28" x14ac:dyDescent="0.2">
      <c r="A6" t="s">
        <v>137</v>
      </c>
      <c r="B6">
        <f>B5+8</f>
        <v>192</v>
      </c>
      <c r="C6">
        <f t="shared" ref="C6:C8" si="0">B6+$P$2</f>
        <v>194</v>
      </c>
      <c r="D6">
        <f t="shared" ref="D6:D8" si="1">C6+$Q$2</f>
        <v>202</v>
      </c>
      <c r="E6">
        <f t="shared" ref="E6:E8" si="2">D6+$R$2</f>
        <v>204</v>
      </c>
      <c r="F6">
        <f t="shared" ref="F6:F8" si="3">E6+$S$2</f>
        <v>206</v>
      </c>
    </row>
    <row r="7" spans="1:28" x14ac:dyDescent="0.2">
      <c r="A7" t="s">
        <v>149</v>
      </c>
      <c r="B7">
        <f>D6-2</f>
        <v>200</v>
      </c>
      <c r="C7">
        <f>B7+$P$2</f>
        <v>202</v>
      </c>
      <c r="D7">
        <f>C7+$Q$2</f>
        <v>210</v>
      </c>
      <c r="E7">
        <f>D7+$R$2</f>
        <v>212</v>
      </c>
      <c r="F7">
        <f>E7+$S$2</f>
        <v>214</v>
      </c>
    </row>
    <row r="8" spans="1:28" x14ac:dyDescent="0.2">
      <c r="A8" t="s">
        <v>138</v>
      </c>
      <c r="B8">
        <f>D7-2</f>
        <v>208</v>
      </c>
      <c r="C8">
        <f t="shared" si="0"/>
        <v>210</v>
      </c>
      <c r="D8">
        <f t="shared" si="1"/>
        <v>218</v>
      </c>
      <c r="E8">
        <f t="shared" si="2"/>
        <v>220</v>
      </c>
      <c r="F8">
        <f t="shared" si="3"/>
        <v>222</v>
      </c>
    </row>
    <row r="9" spans="1:28" x14ac:dyDescent="0.2">
      <c r="A9" t="s">
        <v>150</v>
      </c>
      <c r="C9">
        <f>E8</f>
        <v>220</v>
      </c>
      <c r="D9">
        <f>C9+$U$2</f>
        <v>221</v>
      </c>
      <c r="E9">
        <f>D9+$V$2</f>
        <v>235</v>
      </c>
      <c r="F9">
        <f>E9+$W$2</f>
        <v>236</v>
      </c>
    </row>
    <row r="10" spans="1:28" x14ac:dyDescent="0.2">
      <c r="A10" t="s">
        <v>154</v>
      </c>
      <c r="C10">
        <f>F9</f>
        <v>236</v>
      </c>
      <c r="D10">
        <f>C10+$H$2</f>
        <v>237</v>
      </c>
      <c r="E10">
        <f>D10+$I$2</f>
        <v>238</v>
      </c>
      <c r="F10">
        <f>E10+$J$2</f>
        <v>239</v>
      </c>
    </row>
    <row r="11" spans="1:28" x14ac:dyDescent="0.2">
      <c r="A11" t="s">
        <v>155</v>
      </c>
      <c r="C11">
        <f>F10</f>
        <v>239</v>
      </c>
      <c r="D11">
        <f>C11+$L$2</f>
        <v>240</v>
      </c>
      <c r="E11">
        <f>D11+$M$2</f>
        <v>241</v>
      </c>
      <c r="F11">
        <f>E11+$N$2</f>
        <v>242</v>
      </c>
    </row>
    <row r="12" spans="1:28" x14ac:dyDescent="0.2">
      <c r="A12" t="s">
        <v>139</v>
      </c>
      <c r="B12">
        <f>D31-2</f>
        <v>262</v>
      </c>
      <c r="C12">
        <f>B12+$P$2</f>
        <v>264</v>
      </c>
      <c r="D12">
        <f>C12+$Q$2</f>
        <v>272</v>
      </c>
      <c r="E12">
        <f>D12+$R$2</f>
        <v>274</v>
      </c>
      <c r="F12">
        <f>E12+$S$2</f>
        <v>276</v>
      </c>
    </row>
    <row r="13" spans="1:28" x14ac:dyDescent="0.2">
      <c r="A13" t="s">
        <v>140</v>
      </c>
      <c r="C13">
        <f>E12</f>
        <v>274</v>
      </c>
      <c r="D13">
        <f>C13+$U$2</f>
        <v>275</v>
      </c>
      <c r="E13">
        <f>D13+$V$2</f>
        <v>289</v>
      </c>
      <c r="F13">
        <f>E13+$W$2</f>
        <v>290</v>
      </c>
    </row>
    <row r="14" spans="1:28" x14ac:dyDescent="0.2">
      <c r="A14" t="s">
        <v>154</v>
      </c>
      <c r="C14">
        <f>F13</f>
        <v>290</v>
      </c>
      <c r="D14">
        <f>C14+$H$2</f>
        <v>291</v>
      </c>
      <c r="E14">
        <f>D14+$I$2</f>
        <v>292</v>
      </c>
      <c r="F14">
        <f>E14+$J$2</f>
        <v>293</v>
      </c>
    </row>
    <row r="15" spans="1:28" x14ac:dyDescent="0.2">
      <c r="A15" t="s">
        <v>155</v>
      </c>
      <c r="C15">
        <f>F14</f>
        <v>293</v>
      </c>
      <c r="D15">
        <f>C15+$L$2</f>
        <v>294</v>
      </c>
      <c r="E15">
        <f>D15+$M$2</f>
        <v>295</v>
      </c>
      <c r="F15">
        <f>E15+$N$2</f>
        <v>296</v>
      </c>
    </row>
    <row r="16" spans="1:28" x14ac:dyDescent="0.2">
      <c r="A16" t="s">
        <v>141</v>
      </c>
      <c r="B16">
        <f>F15</f>
        <v>296</v>
      </c>
      <c r="C16">
        <f>B16+$P$2</f>
        <v>298</v>
      </c>
      <c r="D16">
        <f>C16+$Q$2</f>
        <v>306</v>
      </c>
      <c r="E16">
        <f>D16+$R$2</f>
        <v>308</v>
      </c>
      <c r="F16">
        <f>E16+$S$2</f>
        <v>310</v>
      </c>
    </row>
    <row r="17" spans="1:6" x14ac:dyDescent="0.2">
      <c r="A17" t="s">
        <v>140</v>
      </c>
      <c r="C17">
        <f>E16</f>
        <v>308</v>
      </c>
      <c r="D17">
        <f>C17+$U$2</f>
        <v>309</v>
      </c>
      <c r="E17">
        <f>D17+$V$2</f>
        <v>323</v>
      </c>
      <c r="F17">
        <f>E17+$W$2</f>
        <v>324</v>
      </c>
    </row>
    <row r="18" spans="1:6" x14ac:dyDescent="0.2">
      <c r="A18" t="s">
        <v>154</v>
      </c>
      <c r="C18">
        <f>F17</f>
        <v>324</v>
      </c>
      <c r="D18">
        <f>C18+$H$2</f>
        <v>325</v>
      </c>
      <c r="E18">
        <f>D18+$I$2</f>
        <v>326</v>
      </c>
      <c r="F18">
        <f>E18+$J$2</f>
        <v>327</v>
      </c>
    </row>
    <row r="19" spans="1:6" x14ac:dyDescent="0.2">
      <c r="A19" t="s">
        <v>155</v>
      </c>
      <c r="C19">
        <f>F18</f>
        <v>327</v>
      </c>
      <c r="D19">
        <f>C19+$L$2</f>
        <v>328</v>
      </c>
      <c r="E19">
        <f>D19+$M$2</f>
        <v>329</v>
      </c>
      <c r="F19">
        <f>E19+$N$2</f>
        <v>330</v>
      </c>
    </row>
    <row r="20" spans="1:6" x14ac:dyDescent="0.2">
      <c r="A20" t="s">
        <v>142</v>
      </c>
      <c r="B20">
        <f>F19</f>
        <v>330</v>
      </c>
      <c r="C20">
        <f>B20+$P$2</f>
        <v>332</v>
      </c>
      <c r="D20">
        <f>C20+$Q$2</f>
        <v>340</v>
      </c>
      <c r="E20" s="54">
        <f>D20+$R$2+1</f>
        <v>343</v>
      </c>
      <c r="F20" s="54">
        <f>E20+$S$2</f>
        <v>345</v>
      </c>
    </row>
    <row r="21" spans="1:6" x14ac:dyDescent="0.2">
      <c r="A21" t="s">
        <v>150</v>
      </c>
      <c r="C21">
        <f>E20</f>
        <v>343</v>
      </c>
      <c r="D21">
        <f>C21+$U$2</f>
        <v>344</v>
      </c>
      <c r="E21">
        <f>D21+$V$2</f>
        <v>358</v>
      </c>
      <c r="F21">
        <f>E21+$W$2</f>
        <v>359</v>
      </c>
    </row>
    <row r="22" spans="1:6" x14ac:dyDescent="0.2">
      <c r="A22" t="s">
        <v>154</v>
      </c>
      <c r="C22">
        <f>F21</f>
        <v>359</v>
      </c>
      <c r="D22">
        <f>C22+$H$2</f>
        <v>360</v>
      </c>
      <c r="E22">
        <f>D22+$I$2</f>
        <v>361</v>
      </c>
      <c r="F22">
        <f>E22+$J$2</f>
        <v>362</v>
      </c>
    </row>
    <row r="23" spans="1:6" x14ac:dyDescent="0.2">
      <c r="A23" t="s">
        <v>155</v>
      </c>
      <c r="C23">
        <f>F22</f>
        <v>362</v>
      </c>
      <c r="D23">
        <f>C23+$L$2</f>
        <v>363</v>
      </c>
      <c r="E23">
        <f>D23+$M$2</f>
        <v>364</v>
      </c>
      <c r="F23">
        <f>E23+$N$2</f>
        <v>365</v>
      </c>
    </row>
    <row r="24" spans="1:6" x14ac:dyDescent="0.2">
      <c r="A24" t="s">
        <v>22</v>
      </c>
      <c r="D24">
        <f>F23</f>
        <v>365</v>
      </c>
      <c r="E24">
        <f>D24+7</f>
        <v>372</v>
      </c>
      <c r="F24">
        <f>E24+1</f>
        <v>373</v>
      </c>
    </row>
    <row r="25" spans="1:6" x14ac:dyDescent="0.2">
      <c r="A25" t="s">
        <v>143</v>
      </c>
      <c r="B25">
        <f>D8-2</f>
        <v>216</v>
      </c>
      <c r="C25">
        <f t="shared" ref="C25:C26" si="4">B25+$P$2</f>
        <v>218</v>
      </c>
      <c r="D25">
        <f t="shared" ref="D25:D26" si="5">C25+$Q$2</f>
        <v>226</v>
      </c>
      <c r="E25">
        <f t="shared" ref="E25:E26" si="6">D25+$R$2</f>
        <v>228</v>
      </c>
      <c r="F25">
        <f t="shared" ref="F25:F26" si="7">E25+$S$2</f>
        <v>230</v>
      </c>
    </row>
    <row r="26" spans="1:6" x14ac:dyDescent="0.2">
      <c r="A26" t="s">
        <v>144</v>
      </c>
      <c r="B26">
        <f>B25+8</f>
        <v>224</v>
      </c>
      <c r="C26">
        <f t="shared" si="4"/>
        <v>226</v>
      </c>
      <c r="D26">
        <f t="shared" si="5"/>
        <v>234</v>
      </c>
      <c r="E26">
        <f t="shared" si="6"/>
        <v>236</v>
      </c>
      <c r="F26">
        <f t="shared" si="7"/>
        <v>238</v>
      </c>
    </row>
    <row r="27" spans="1:6" x14ac:dyDescent="0.2">
      <c r="A27" t="s">
        <v>151</v>
      </c>
      <c r="B27">
        <f>B26+8</f>
        <v>232</v>
      </c>
      <c r="C27">
        <f>B27+$P$2</f>
        <v>234</v>
      </c>
      <c r="D27">
        <f>C27+$Q$2</f>
        <v>242</v>
      </c>
      <c r="E27">
        <f>D27+$R$2</f>
        <v>244</v>
      </c>
      <c r="F27">
        <f>E27+$S$2</f>
        <v>246</v>
      </c>
    </row>
    <row r="28" spans="1:6" x14ac:dyDescent="0.2">
      <c r="A28" t="s">
        <v>152</v>
      </c>
      <c r="B28">
        <f>D30-2</f>
        <v>286</v>
      </c>
      <c r="C28">
        <f>B28+$P$2</f>
        <v>288</v>
      </c>
      <c r="D28">
        <f>C28+$Q$2</f>
        <v>296</v>
      </c>
      <c r="E28">
        <f>D28+$R$2</f>
        <v>298</v>
      </c>
      <c r="F28">
        <f>E28+$S$2</f>
        <v>300</v>
      </c>
    </row>
    <row r="29" spans="1:6" x14ac:dyDescent="0.2">
      <c r="A29" t="s">
        <v>145</v>
      </c>
      <c r="B29">
        <f>B12+8</f>
        <v>270</v>
      </c>
      <c r="C29">
        <f>B29+$P$2</f>
        <v>272</v>
      </c>
      <c r="D29">
        <f>C29+$Q$2</f>
        <v>280</v>
      </c>
      <c r="E29">
        <f>D29+$R$2</f>
        <v>282</v>
      </c>
      <c r="F29">
        <f>E29+$S$2</f>
        <v>284</v>
      </c>
    </row>
    <row r="30" spans="1:6" x14ac:dyDescent="0.2">
      <c r="A30" t="s">
        <v>146</v>
      </c>
      <c r="B30">
        <f>B29+8</f>
        <v>278</v>
      </c>
      <c r="C30">
        <f>B30+$P$2</f>
        <v>280</v>
      </c>
      <c r="D30">
        <f>C30+$Q$2</f>
        <v>288</v>
      </c>
      <c r="E30">
        <f>D30+$R$2</f>
        <v>290</v>
      </c>
      <c r="F30">
        <f>E30+$S$2</f>
        <v>292</v>
      </c>
    </row>
    <row r="31" spans="1:6" x14ac:dyDescent="0.2">
      <c r="A31" t="s">
        <v>50</v>
      </c>
      <c r="B31">
        <f>D27-2</f>
        <v>240</v>
      </c>
      <c r="C31">
        <f>B31+$Y$2</f>
        <v>242</v>
      </c>
      <c r="D31">
        <f>C31+$Z$2</f>
        <v>264</v>
      </c>
      <c r="E31">
        <f>D31+$AA$2</f>
        <v>264</v>
      </c>
      <c r="F31">
        <f>E31+$AB$2</f>
        <v>272</v>
      </c>
    </row>
    <row r="32" spans="1:6" x14ac:dyDescent="0.2">
      <c r="A32" t="s">
        <v>147</v>
      </c>
      <c r="B32">
        <f>D16-2</f>
        <v>304</v>
      </c>
      <c r="C32">
        <f>B32+$P$2</f>
        <v>306</v>
      </c>
      <c r="D32">
        <f>C32+$Q$2</f>
        <v>314</v>
      </c>
      <c r="E32">
        <f>D32+$R$2</f>
        <v>316</v>
      </c>
      <c r="F32">
        <f>E32+$S$2</f>
        <v>318</v>
      </c>
    </row>
    <row r="33" spans="1:6" x14ac:dyDescent="0.2">
      <c r="A33" t="s">
        <v>148</v>
      </c>
      <c r="B33">
        <f>B32+8</f>
        <v>312</v>
      </c>
      <c r="C33">
        <f>B33+$P$2</f>
        <v>314</v>
      </c>
      <c r="D33">
        <f>C33+$Q$2</f>
        <v>322</v>
      </c>
      <c r="E33" s="54">
        <f>D33+$R$2+1</f>
        <v>325</v>
      </c>
      <c r="F33" s="54">
        <f>E33+$S$2</f>
        <v>327</v>
      </c>
    </row>
    <row r="34" spans="1:6" x14ac:dyDescent="0.2">
      <c r="A34" t="s">
        <v>153</v>
      </c>
      <c r="B34">
        <f>D33-2</f>
        <v>320</v>
      </c>
      <c r="C34">
        <f>B34+$P$2</f>
        <v>322</v>
      </c>
      <c r="D34">
        <f>C34+$Q$2</f>
        <v>330</v>
      </c>
      <c r="E34" s="54">
        <f>D34+$R$2+1</f>
        <v>333</v>
      </c>
      <c r="F34" s="54">
        <f>E34+$S$2</f>
        <v>335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F07A-FCE4-4F4E-ACE2-E9CBAFA9EEE3}">
  <dimension ref="A1:W22"/>
  <sheetViews>
    <sheetView workbookViewId="0">
      <selection activeCell="A11" sqref="A11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199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v0!A72</f>
        <v>UVread latancy</v>
      </c>
      <c r="Q1" t="str">
        <f>v0!B72</f>
        <v>32x32 input cc</v>
      </c>
      <c r="R1" t="str">
        <f>v0!C72</f>
        <v>32x32 work cc</v>
      </c>
      <c r="S1" t="str">
        <f>v0!D72</f>
        <v>32x32 output cc</v>
      </c>
      <c r="U1" t="str">
        <f>v0!G64</f>
        <v>tqitq4x4 input</v>
      </c>
      <c r="V1" t="str">
        <f>v0!H64</f>
        <v>tqitq work</v>
      </c>
      <c r="W1" t="str">
        <f>v0!I64</f>
        <v>tqitq out</v>
      </c>
    </row>
    <row r="2" spans="1:23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v0!A73</f>
        <v>2</v>
      </c>
      <c r="Q2">
        <f>v0!B73</f>
        <v>88</v>
      </c>
      <c r="R2">
        <f>v0!C73</f>
        <v>-80</v>
      </c>
      <c r="S2">
        <f>v0!D73</f>
        <v>88</v>
      </c>
      <c r="U2">
        <f>v0!G65</f>
        <v>1</v>
      </c>
      <c r="V2">
        <f>v0!H65</f>
        <v>14</v>
      </c>
      <c r="W2">
        <f>v0!I65</f>
        <v>1</v>
      </c>
    </row>
    <row r="3" spans="1:23" x14ac:dyDescent="0.2">
      <c r="A3" t="s">
        <v>3</v>
      </c>
      <c r="B3" t="s">
        <v>4</v>
      </c>
      <c r="P3" t="str">
        <f>v0!A74</f>
        <v>UVread latancy</v>
      </c>
      <c r="Q3" t="str">
        <f>v0!B74</f>
        <v>16x16 input cc</v>
      </c>
      <c r="R3" t="str">
        <f>v0!C74</f>
        <v>16x16 work cc</v>
      </c>
      <c r="S3" t="str">
        <f>v0!D74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v0!A75</f>
        <v>2</v>
      </c>
      <c r="Q4">
        <f>v0!B75</f>
        <v>44</v>
      </c>
      <c r="R4">
        <f>v0!C75</f>
        <v>-36</v>
      </c>
      <c r="S4">
        <f>v0!D75</f>
        <v>44</v>
      </c>
    </row>
    <row r="5" spans="1:23" x14ac:dyDescent="0.2">
      <c r="A5" t="s">
        <v>156</v>
      </c>
      <c r="B5">
        <v>0</v>
      </c>
      <c r="C5">
        <f>B5+$P$6</f>
        <v>2</v>
      </c>
      <c r="D5">
        <f>C5+$Q$6</f>
        <v>24</v>
      </c>
      <c r="E5">
        <f>D5+$R$6</f>
        <v>24</v>
      </c>
      <c r="F5">
        <f>E5+$S$6</f>
        <v>32</v>
      </c>
      <c r="P5" t="str">
        <f>v0!A76</f>
        <v>UVread latancy</v>
      </c>
      <c r="Q5" t="str">
        <f>v0!B76</f>
        <v>8x8 input cc</v>
      </c>
      <c r="R5" t="str">
        <f>v0!C76</f>
        <v>8x8 work cc</v>
      </c>
      <c r="S5" t="str">
        <f>v0!D76</f>
        <v>8x8 output cc</v>
      </c>
    </row>
    <row r="6" spans="1:23" x14ac:dyDescent="0.2">
      <c r="A6" t="s">
        <v>201</v>
      </c>
      <c r="B6">
        <f t="shared" ref="B6:B22" si="0">D5-2</f>
        <v>22</v>
      </c>
      <c r="C6">
        <f>B6+$P$6</f>
        <v>24</v>
      </c>
      <c r="D6">
        <f>C6+$Q$6</f>
        <v>46</v>
      </c>
      <c r="E6">
        <f>D6+$R$6</f>
        <v>46</v>
      </c>
      <c r="F6">
        <f>E6+$S$6</f>
        <v>54</v>
      </c>
      <c r="P6">
        <f>v0!A77</f>
        <v>2</v>
      </c>
      <c r="Q6">
        <f>v0!B77</f>
        <v>22</v>
      </c>
      <c r="R6">
        <f>v0!C77</f>
        <v>0</v>
      </c>
      <c r="S6">
        <f>v0!D77</f>
        <v>8</v>
      </c>
    </row>
    <row r="7" spans="1:23" x14ac:dyDescent="0.2">
      <c r="A7" t="s">
        <v>200</v>
      </c>
      <c r="B7">
        <f t="shared" si="0"/>
        <v>44</v>
      </c>
      <c r="C7">
        <f>B7+$P$6</f>
        <v>46</v>
      </c>
      <c r="D7">
        <f>C7+$Q$6</f>
        <v>68</v>
      </c>
      <c r="E7" s="53">
        <f>D7+$R$6+58</f>
        <v>126</v>
      </c>
      <c r="F7" s="53">
        <f>E7+$S$6</f>
        <v>134</v>
      </c>
    </row>
    <row r="8" spans="1:23" x14ac:dyDescent="0.2">
      <c r="A8" t="s">
        <v>36</v>
      </c>
      <c r="B8">
        <f>D7-2</f>
        <v>66</v>
      </c>
      <c r="C8">
        <f>B8+$P$4</f>
        <v>68</v>
      </c>
      <c r="D8">
        <f>C8+$Q$4</f>
        <v>112</v>
      </c>
      <c r="E8">
        <f>D8+$R$4</f>
        <v>76</v>
      </c>
      <c r="F8">
        <f>E8+$S$4</f>
        <v>120</v>
      </c>
    </row>
    <row r="9" spans="1:23" x14ac:dyDescent="0.2">
      <c r="A9" t="s">
        <v>158</v>
      </c>
      <c r="B9">
        <f t="shared" si="0"/>
        <v>110</v>
      </c>
      <c r="C9">
        <f>B9+$P$4</f>
        <v>112</v>
      </c>
      <c r="D9">
        <f>C9+$Q$4</f>
        <v>156</v>
      </c>
      <c r="E9">
        <f>D9+$R$4</f>
        <v>120</v>
      </c>
      <c r="F9">
        <f>E9+$S$4</f>
        <v>164</v>
      </c>
    </row>
    <row r="14" spans="1:23" x14ac:dyDescent="0.2">
      <c r="E14" s="52"/>
      <c r="F14" s="52"/>
    </row>
    <row r="18" spans="1:6" s="1" customFormat="1" x14ac:dyDescent="0.2">
      <c r="A18"/>
      <c r="B18"/>
      <c r="C18"/>
      <c r="D18"/>
      <c r="E18" s="52"/>
      <c r="F18" s="52"/>
    </row>
    <row r="19" spans="1:6" x14ac:dyDescent="0.2">
      <c r="E19" s="52"/>
      <c r="F19" s="52"/>
    </row>
    <row r="21" spans="1:6" x14ac:dyDescent="0.2">
      <c r="B21" s="1"/>
      <c r="C21" s="1"/>
      <c r="D21" s="1"/>
      <c r="E21" s="1"/>
      <c r="F21" s="1"/>
    </row>
    <row r="22" spans="1:6" x14ac:dyDescent="0.2">
      <c r="B22" s="1"/>
      <c r="C22" s="1"/>
      <c r="D22" s="1"/>
      <c r="E22" s="1"/>
      <c r="F22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317A-AECA-4343-96E0-4ED212B0C2E5}">
  <dimension ref="A1:W18"/>
  <sheetViews>
    <sheetView workbookViewId="0">
      <selection activeCell="S22" sqref="S22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198</v>
      </c>
      <c r="H1" t="str">
        <f>v0!A62</f>
        <v>inter pk in</v>
      </c>
      <c r="I1" t="str">
        <f>v0!B62</f>
        <v>inter pk work</v>
      </c>
      <c r="J1" t="str">
        <f>v0!C62</f>
        <v>inter pk out</v>
      </c>
      <c r="L1" t="str">
        <f>v0!A64</f>
        <v>sel pk in</v>
      </c>
      <c r="M1" t="str">
        <f>v0!B64</f>
        <v>sel pk work</v>
      </c>
      <c r="N1" t="str">
        <f>v0!C64</f>
        <v>sel pk out</v>
      </c>
      <c r="P1" t="str">
        <f>v0!A72</f>
        <v>UVread latancy</v>
      </c>
      <c r="Q1" t="str">
        <f>v0!B72</f>
        <v>32x32 input cc</v>
      </c>
      <c r="R1" t="str">
        <f>v0!C72</f>
        <v>32x32 work cc</v>
      </c>
      <c r="S1" t="str">
        <f>v0!D72</f>
        <v>32x32 output cc</v>
      </c>
      <c r="U1" t="str">
        <f>v0!G64</f>
        <v>tqitq4x4 input</v>
      </c>
      <c r="V1" t="str">
        <f>v0!H64</f>
        <v>tqitq work</v>
      </c>
      <c r="W1" t="str">
        <f>v0!I64</f>
        <v>tqitq out</v>
      </c>
    </row>
    <row r="2" spans="1:23" x14ac:dyDescent="0.2">
      <c r="A2" t="s">
        <v>1</v>
      </c>
      <c r="B2" t="s">
        <v>2</v>
      </c>
      <c r="H2">
        <f>v0!A63</f>
        <v>1</v>
      </c>
      <c r="I2">
        <f>v0!B63</f>
        <v>1</v>
      </c>
      <c r="J2">
        <f>v0!C63</f>
        <v>1</v>
      </c>
      <c r="L2">
        <f>v0!A65</f>
        <v>1</v>
      </c>
      <c r="M2">
        <f>v0!B65</f>
        <v>1</v>
      </c>
      <c r="N2">
        <f>v0!C65</f>
        <v>1</v>
      </c>
      <c r="P2">
        <f>v0!A73</f>
        <v>2</v>
      </c>
      <c r="Q2">
        <f>v0!B73</f>
        <v>88</v>
      </c>
      <c r="R2">
        <f>v0!C73</f>
        <v>-80</v>
      </c>
      <c r="S2">
        <f>v0!D73</f>
        <v>88</v>
      </c>
      <c r="U2">
        <f>v0!G65</f>
        <v>1</v>
      </c>
      <c r="V2">
        <f>v0!H65</f>
        <v>14</v>
      </c>
      <c r="W2">
        <f>v0!I65</f>
        <v>1</v>
      </c>
    </row>
    <row r="3" spans="1:23" x14ac:dyDescent="0.2">
      <c r="A3" t="s">
        <v>3</v>
      </c>
      <c r="B3" t="s">
        <v>4</v>
      </c>
      <c r="P3" t="str">
        <f>v0!A74</f>
        <v>UVread latancy</v>
      </c>
      <c r="Q3" t="str">
        <f>v0!B74</f>
        <v>16x16 input cc</v>
      </c>
      <c r="R3" t="str">
        <f>v0!C74</f>
        <v>16x16 work cc</v>
      </c>
      <c r="S3" t="str">
        <f>v0!D74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v0!A75</f>
        <v>2</v>
      </c>
      <c r="Q4">
        <f>v0!B75</f>
        <v>44</v>
      </c>
      <c r="R4">
        <f>v0!C75</f>
        <v>-36</v>
      </c>
      <c r="S4">
        <f>v0!D75</f>
        <v>44</v>
      </c>
    </row>
    <row r="5" spans="1:23" x14ac:dyDescent="0.2">
      <c r="A5" t="s">
        <v>43</v>
      </c>
      <c r="B5">
        <f>208-24</f>
        <v>184</v>
      </c>
      <c r="C5">
        <f>B5+$P$6</f>
        <v>186</v>
      </c>
      <c r="D5">
        <f>C5+$Q$6</f>
        <v>208</v>
      </c>
      <c r="E5">
        <f>D5+$R$6</f>
        <v>208</v>
      </c>
      <c r="F5">
        <f>E5+$S$6</f>
        <v>216</v>
      </c>
      <c r="P5" t="str">
        <f>v0!A76</f>
        <v>UVread latancy</v>
      </c>
      <c r="Q5" t="str">
        <f>v0!B76</f>
        <v>8x8 input cc</v>
      </c>
      <c r="R5" t="str">
        <f>v0!C76</f>
        <v>8x8 work cc</v>
      </c>
      <c r="S5" t="str">
        <f>v0!D76</f>
        <v>8x8 output cc</v>
      </c>
    </row>
    <row r="6" spans="1:23" x14ac:dyDescent="0.2">
      <c r="A6" t="s">
        <v>202</v>
      </c>
      <c r="B6">
        <f>D5-2</f>
        <v>206</v>
      </c>
      <c r="C6">
        <f>B6+$P$6</f>
        <v>208</v>
      </c>
      <c r="D6">
        <f>C6+$Q$6</f>
        <v>230</v>
      </c>
      <c r="E6">
        <f>D6+$R$6</f>
        <v>230</v>
      </c>
      <c r="F6">
        <f>E6+$S$6</f>
        <v>238</v>
      </c>
      <c r="P6">
        <f>v0!A77</f>
        <v>2</v>
      </c>
      <c r="Q6">
        <f>v0!B77</f>
        <v>22</v>
      </c>
      <c r="R6">
        <f>v0!C77</f>
        <v>0</v>
      </c>
      <c r="S6">
        <f>v0!D77</f>
        <v>8</v>
      </c>
    </row>
    <row r="7" spans="1:23" x14ac:dyDescent="0.2">
      <c r="A7" t="s">
        <v>203</v>
      </c>
      <c r="B7">
        <f>D6-2</f>
        <v>228</v>
      </c>
      <c r="C7">
        <f>B7+$P$6</f>
        <v>230</v>
      </c>
      <c r="D7">
        <f>C7+$Q$6</f>
        <v>252</v>
      </c>
      <c r="E7" s="54">
        <f>D7+$R$6+34</f>
        <v>286</v>
      </c>
      <c r="F7" s="54">
        <f>E7+$S$6</f>
        <v>294</v>
      </c>
    </row>
    <row r="8" spans="1:23" x14ac:dyDescent="0.2">
      <c r="A8" t="s">
        <v>55</v>
      </c>
      <c r="B8">
        <f t="shared" ref="B8:B17" si="0">D7-2</f>
        <v>250</v>
      </c>
      <c r="C8">
        <f>B8+$P$4</f>
        <v>252</v>
      </c>
      <c r="D8">
        <f>C8+$Q$4</f>
        <v>296</v>
      </c>
      <c r="E8" s="54">
        <f>D8+$R$4+44+61</f>
        <v>365</v>
      </c>
      <c r="F8" s="54">
        <f>E8+32</f>
        <v>397</v>
      </c>
    </row>
    <row r="9" spans="1:23" x14ac:dyDescent="0.2">
      <c r="A9" t="s">
        <v>54</v>
      </c>
      <c r="B9" s="54">
        <f>D8-2+17</f>
        <v>311</v>
      </c>
      <c r="C9">
        <f>B9+$P$4</f>
        <v>313</v>
      </c>
      <c r="D9">
        <f>C9+$Q$4</f>
        <v>357</v>
      </c>
      <c r="E9">
        <f>D9+$R$4</f>
        <v>321</v>
      </c>
      <c r="F9">
        <f>E9+$S$4</f>
        <v>365</v>
      </c>
    </row>
    <row r="10" spans="1:23" x14ac:dyDescent="0.2">
      <c r="A10" t="s">
        <v>45</v>
      </c>
      <c r="B10">
        <v>400</v>
      </c>
      <c r="C10">
        <f>B10+$P$6</f>
        <v>402</v>
      </c>
      <c r="D10">
        <f>C10+$Q$6</f>
        <v>424</v>
      </c>
      <c r="E10">
        <f>D10+$R$6</f>
        <v>424</v>
      </c>
      <c r="F10">
        <f>E10+$S$6</f>
        <v>432</v>
      </c>
    </row>
    <row r="11" spans="1:23" x14ac:dyDescent="0.2">
      <c r="A11" t="s">
        <v>204</v>
      </c>
      <c r="B11">
        <f t="shared" si="0"/>
        <v>422</v>
      </c>
      <c r="C11">
        <f>B11+$P$6</f>
        <v>424</v>
      </c>
      <c r="D11">
        <f>C11+$Q$6</f>
        <v>446</v>
      </c>
      <c r="E11">
        <f>D11+$R$6</f>
        <v>446</v>
      </c>
      <c r="F11">
        <f>E11+$S$6</f>
        <v>454</v>
      </c>
    </row>
    <row r="12" spans="1:23" x14ac:dyDescent="0.2">
      <c r="A12" t="s">
        <v>205</v>
      </c>
      <c r="B12">
        <f t="shared" si="0"/>
        <v>444</v>
      </c>
      <c r="C12">
        <f>B12+$P$6</f>
        <v>446</v>
      </c>
      <c r="D12">
        <f>C12+$Q$6</f>
        <v>468</v>
      </c>
      <c r="E12">
        <f>D12+$R$6</f>
        <v>468</v>
      </c>
      <c r="F12">
        <f>E12+$S$6</f>
        <v>476</v>
      </c>
    </row>
    <row r="13" spans="1:23" x14ac:dyDescent="0.2">
      <c r="A13" t="s">
        <v>167</v>
      </c>
      <c r="B13">
        <f>D12-2</f>
        <v>466</v>
      </c>
      <c r="C13">
        <f>B13+$P$4</f>
        <v>468</v>
      </c>
      <c r="D13">
        <f>C13+$Q$4</f>
        <v>512</v>
      </c>
      <c r="E13" s="54">
        <f>D13+$R$4+45</f>
        <v>521</v>
      </c>
      <c r="F13" s="54">
        <f>E13+32</f>
        <v>553</v>
      </c>
    </row>
    <row r="14" spans="1:23" x14ac:dyDescent="0.2">
      <c r="A14" t="s">
        <v>168</v>
      </c>
      <c r="B14">
        <f>D13-2</f>
        <v>510</v>
      </c>
      <c r="C14">
        <f>B14+$P$4</f>
        <v>512</v>
      </c>
      <c r="D14">
        <f>C14+$Q$4</f>
        <v>556</v>
      </c>
      <c r="E14" s="54">
        <f>D14+$R$4+35</f>
        <v>555</v>
      </c>
      <c r="F14" s="54">
        <f>E14+32</f>
        <v>587</v>
      </c>
    </row>
    <row r="15" spans="1:23" x14ac:dyDescent="0.2">
      <c r="A15" t="s">
        <v>206</v>
      </c>
      <c r="B15">
        <v>600</v>
      </c>
      <c r="C15">
        <f>B15+$P$6</f>
        <v>602</v>
      </c>
      <c r="D15">
        <f>C15+$Q$6</f>
        <v>624</v>
      </c>
      <c r="E15">
        <f>D15+$R$6</f>
        <v>624</v>
      </c>
      <c r="F15">
        <f>E15+$S$6</f>
        <v>632</v>
      </c>
    </row>
    <row r="16" spans="1:23" x14ac:dyDescent="0.2">
      <c r="A16" t="s">
        <v>207</v>
      </c>
      <c r="B16" s="1">
        <f t="shared" si="0"/>
        <v>622</v>
      </c>
      <c r="C16" s="1">
        <f>B16+$P$4</f>
        <v>624</v>
      </c>
      <c r="D16" s="1">
        <f>C16+$Q$4</f>
        <v>668</v>
      </c>
      <c r="E16" s="1">
        <f>D16+$R$4</f>
        <v>632</v>
      </c>
      <c r="F16" s="1">
        <f>E16+$S$4</f>
        <v>676</v>
      </c>
    </row>
    <row r="17" spans="1:6" x14ac:dyDescent="0.2">
      <c r="A17" t="s">
        <v>208</v>
      </c>
      <c r="B17" s="1">
        <f t="shared" si="0"/>
        <v>666</v>
      </c>
      <c r="C17" s="1">
        <f>B17+$P$4</f>
        <v>668</v>
      </c>
      <c r="D17" s="1">
        <f>C17+$Q$4</f>
        <v>712</v>
      </c>
      <c r="E17" s="1">
        <f>D17+$R$4</f>
        <v>676</v>
      </c>
      <c r="F17" s="1">
        <f>E17+$S$4</f>
        <v>720</v>
      </c>
    </row>
    <row r="18" spans="1:6" s="1" customFormat="1" x14ac:dyDescent="0.2">
      <c r="A18"/>
      <c r="B18"/>
      <c r="C18"/>
      <c r="D18"/>
      <c r="E18"/>
      <c r="F1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790-0C84-44DF-9CE1-7C181D6C9B9E}">
  <dimension ref="A1:BB42"/>
  <sheetViews>
    <sheetView tabSelected="1" zoomScale="85" zoomScaleNormal="85" workbookViewId="0">
      <selection activeCell="AF44" sqref="AF44"/>
    </sheetView>
  </sheetViews>
  <sheetFormatPr defaultRowHeight="14.25" x14ac:dyDescent="0.2"/>
  <cols>
    <col min="3" max="59" width="4.625" customWidth="1"/>
  </cols>
  <sheetData>
    <row r="1" spans="1:54" ht="15" thickBot="1" x14ac:dyDescent="0.25">
      <c r="A1" s="87" t="s">
        <v>319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9"/>
      <c r="AC1" s="87" t="s">
        <v>323</v>
      </c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9"/>
    </row>
    <row r="2" spans="1:54" ht="15" thickBot="1" x14ac:dyDescent="0.25">
      <c r="A2" t="s">
        <v>314</v>
      </c>
      <c r="H2" t="s">
        <v>322</v>
      </c>
      <c r="O2" t="s">
        <v>318</v>
      </c>
      <c r="AC2" t="s">
        <v>314</v>
      </c>
      <c r="AE2" t="s">
        <v>324</v>
      </c>
      <c r="AJ2" t="s">
        <v>325</v>
      </c>
      <c r="AX2" t="s">
        <v>318</v>
      </c>
    </row>
    <row r="3" spans="1:54" ht="15" thickBot="1" x14ac:dyDescent="0.25">
      <c r="A3" t="s">
        <v>309</v>
      </c>
      <c r="C3" s="81" t="s">
        <v>312</v>
      </c>
      <c r="D3" s="82"/>
      <c r="E3" s="82"/>
      <c r="F3" s="83"/>
      <c r="H3" s="81" t="s">
        <v>313</v>
      </c>
      <c r="I3" s="83"/>
      <c r="J3" s="81">
        <v>1</v>
      </c>
      <c r="K3" s="83"/>
      <c r="O3" t="s">
        <v>311</v>
      </c>
      <c r="Q3" s="87" t="s">
        <v>328</v>
      </c>
      <c r="R3" s="89"/>
      <c r="AC3" t="s">
        <v>309</v>
      </c>
      <c r="AE3" s="81" t="s">
        <v>312</v>
      </c>
      <c r="AF3" s="82"/>
      <c r="AG3" s="82"/>
      <c r="AH3" s="83"/>
      <c r="AJ3" s="81" t="s">
        <v>313</v>
      </c>
      <c r="AK3" s="83"/>
      <c r="AL3" s="81">
        <v>1</v>
      </c>
      <c r="AM3" s="83"/>
      <c r="AX3" t="s">
        <v>309</v>
      </c>
      <c r="AY3" s="81" t="s">
        <v>313</v>
      </c>
      <c r="AZ3" s="83"/>
      <c r="BA3" s="81">
        <v>1</v>
      </c>
      <c r="BB3" s="83"/>
    </row>
    <row r="4" spans="1:54" ht="15" thickBot="1" x14ac:dyDescent="0.25">
      <c r="C4" s="84"/>
      <c r="D4" s="85"/>
      <c r="E4" s="85"/>
      <c r="F4" s="86"/>
      <c r="H4" s="92"/>
      <c r="I4" s="93"/>
      <c r="J4" s="92"/>
      <c r="K4" s="93"/>
      <c r="Q4" s="90"/>
      <c r="R4" s="91"/>
      <c r="AE4" s="84"/>
      <c r="AF4" s="85"/>
      <c r="AG4" s="85"/>
      <c r="AH4" s="86"/>
      <c r="AJ4" s="92"/>
      <c r="AK4" s="93"/>
      <c r="AL4" s="92"/>
      <c r="AM4" s="93"/>
      <c r="AY4" s="92"/>
      <c r="AZ4" s="93"/>
      <c r="BA4" s="92"/>
      <c r="BB4" s="93"/>
    </row>
    <row r="5" spans="1:54" ht="15" thickBot="1" x14ac:dyDescent="0.25">
      <c r="C5" s="81">
        <v>1</v>
      </c>
      <c r="D5" s="82"/>
      <c r="E5" s="82"/>
      <c r="F5" s="83"/>
      <c r="H5" s="92"/>
      <c r="I5" s="93"/>
      <c r="J5" s="92"/>
      <c r="K5" s="93"/>
      <c r="AE5" s="81">
        <v>1</v>
      </c>
      <c r="AF5" s="82"/>
      <c r="AG5" s="82"/>
      <c r="AH5" s="83"/>
      <c r="AJ5" s="92"/>
      <c r="AK5" s="93"/>
      <c r="AL5" s="92"/>
      <c r="AM5" s="93"/>
      <c r="AY5" s="92"/>
      <c r="AZ5" s="93"/>
      <c r="BA5" s="92"/>
      <c r="BB5" s="93"/>
    </row>
    <row r="6" spans="1:54" ht="15" thickBot="1" x14ac:dyDescent="0.25">
      <c r="C6" s="84"/>
      <c r="D6" s="85"/>
      <c r="E6" s="85"/>
      <c r="F6" s="86"/>
      <c r="H6" s="84"/>
      <c r="I6" s="86"/>
      <c r="J6" s="84"/>
      <c r="K6" s="86"/>
      <c r="Q6" s="81" t="s">
        <v>329</v>
      </c>
      <c r="R6" s="83"/>
      <c r="AE6" s="84"/>
      <c r="AF6" s="85"/>
      <c r="AG6" s="85"/>
      <c r="AH6" s="86"/>
      <c r="AJ6" s="84"/>
      <c r="AK6" s="86"/>
      <c r="AL6" s="84"/>
      <c r="AM6" s="86"/>
      <c r="AY6" s="84"/>
      <c r="AZ6" s="86"/>
      <c r="BA6" s="84"/>
      <c r="BB6" s="86"/>
    </row>
    <row r="7" spans="1:54" ht="15" thickBot="1" x14ac:dyDescent="0.25">
      <c r="C7" s="81">
        <v>2</v>
      </c>
      <c r="D7" s="82"/>
      <c r="E7" s="82"/>
      <c r="F7" s="83"/>
      <c r="H7" s="81">
        <v>2</v>
      </c>
      <c r="I7" s="83"/>
      <c r="J7" s="81">
        <v>3</v>
      </c>
      <c r="K7" s="83"/>
      <c r="Q7" s="90"/>
      <c r="R7" s="91"/>
      <c r="AE7" s="81">
        <v>2</v>
      </c>
      <c r="AF7" s="82"/>
      <c r="AG7" s="82"/>
      <c r="AH7" s="83"/>
      <c r="AJ7" s="81">
        <v>2</v>
      </c>
      <c r="AK7" s="83"/>
      <c r="AL7" s="81">
        <v>3</v>
      </c>
      <c r="AM7" s="83"/>
      <c r="AY7" s="81">
        <v>2</v>
      </c>
      <c r="AZ7" s="83"/>
      <c r="BA7" s="81">
        <v>3</v>
      </c>
      <c r="BB7" s="83"/>
    </row>
    <row r="8" spans="1:54" ht="15" thickBot="1" x14ac:dyDescent="0.25">
      <c r="C8" s="84"/>
      <c r="D8" s="85"/>
      <c r="E8" s="85"/>
      <c r="F8" s="86"/>
      <c r="H8" s="92"/>
      <c r="I8" s="93"/>
      <c r="J8" s="92"/>
      <c r="K8" s="93"/>
      <c r="AE8" s="84"/>
      <c r="AF8" s="85"/>
      <c r="AG8" s="85"/>
      <c r="AH8" s="86"/>
      <c r="AJ8" s="92"/>
      <c r="AK8" s="93"/>
      <c r="AL8" s="92"/>
      <c r="AM8" s="93"/>
      <c r="AY8" s="92"/>
      <c r="AZ8" s="93"/>
      <c r="BA8" s="92"/>
      <c r="BB8" s="93"/>
    </row>
    <row r="9" spans="1:54" x14ac:dyDescent="0.2">
      <c r="C9" s="76"/>
      <c r="D9" s="1"/>
      <c r="E9" s="1"/>
      <c r="F9" s="77"/>
      <c r="H9" s="92"/>
      <c r="I9" s="93"/>
      <c r="J9" s="92"/>
      <c r="K9" s="93"/>
      <c r="AE9" s="76"/>
      <c r="AF9" s="1"/>
      <c r="AG9" s="1"/>
      <c r="AH9" s="77"/>
      <c r="AJ9" s="92"/>
      <c r="AK9" s="93"/>
      <c r="AL9" s="92"/>
      <c r="AM9" s="93"/>
      <c r="AY9" s="92"/>
      <c r="AZ9" s="93"/>
      <c r="BA9" s="92"/>
      <c r="BB9" s="93"/>
    </row>
    <row r="10" spans="1:54" ht="15" thickBot="1" x14ac:dyDescent="0.25">
      <c r="C10" s="78"/>
      <c r="D10" s="79"/>
      <c r="E10" s="79"/>
      <c r="F10" s="80"/>
      <c r="H10" s="84"/>
      <c r="I10" s="86"/>
      <c r="J10" s="84"/>
      <c r="K10" s="86"/>
      <c r="AE10" s="78"/>
      <c r="AF10" s="79"/>
      <c r="AG10" s="79"/>
      <c r="AH10" s="80"/>
      <c r="AJ10" s="84"/>
      <c r="AK10" s="86"/>
      <c r="AL10" s="84"/>
      <c r="AM10" s="86"/>
      <c r="AY10" s="84"/>
      <c r="AZ10" s="86"/>
      <c r="BA10" s="84"/>
      <c r="BB10" s="86"/>
    </row>
    <row r="12" spans="1:54" ht="15" thickBot="1" x14ac:dyDescent="0.25"/>
    <row r="13" spans="1:54" ht="15" thickBot="1" x14ac:dyDescent="0.25">
      <c r="A13" t="s">
        <v>310</v>
      </c>
      <c r="C13" s="87" t="s">
        <v>316</v>
      </c>
      <c r="D13" s="88"/>
      <c r="E13" s="88"/>
      <c r="F13" s="89"/>
      <c r="O13" t="s">
        <v>309</v>
      </c>
      <c r="Q13" s="87" t="s">
        <v>326</v>
      </c>
      <c r="R13" s="88"/>
      <c r="S13" s="88"/>
      <c r="T13" s="89"/>
      <c r="V13" s="87" t="s">
        <v>327</v>
      </c>
      <c r="W13" s="88"/>
      <c r="X13" s="88"/>
      <c r="Y13" s="89"/>
      <c r="AC13" t="s">
        <v>310</v>
      </c>
      <c r="AE13" s="85" t="s">
        <v>330</v>
      </c>
      <c r="AF13" s="85"/>
      <c r="AG13" s="85"/>
      <c r="AH13" s="85"/>
      <c r="AN13" s="85" t="s">
        <v>322</v>
      </c>
      <c r="AO13" s="85"/>
      <c r="AP13" s="85"/>
      <c r="AQ13" s="85"/>
    </row>
    <row r="14" spans="1:54" ht="15" thickBot="1" x14ac:dyDescent="0.25">
      <c r="C14" s="81">
        <v>1</v>
      </c>
      <c r="D14" s="82"/>
      <c r="E14" s="82"/>
      <c r="F14" s="83"/>
      <c r="Q14" s="87">
        <v>1</v>
      </c>
      <c r="R14" s="88"/>
      <c r="S14" s="88"/>
      <c r="T14" s="89"/>
      <c r="V14" s="87">
        <v>1</v>
      </c>
      <c r="W14" s="88"/>
      <c r="X14" s="88"/>
      <c r="Y14" s="89"/>
      <c r="AE14" s="81" t="s">
        <v>312</v>
      </c>
      <c r="AF14" s="82"/>
      <c r="AG14" s="82"/>
      <c r="AH14" s="83"/>
      <c r="AI14" s="81" t="s">
        <v>331</v>
      </c>
      <c r="AJ14" s="82"/>
      <c r="AK14" s="82"/>
      <c r="AL14" s="83"/>
      <c r="AN14" s="81">
        <v>0</v>
      </c>
      <c r="AO14" s="83"/>
      <c r="AP14" s="81">
        <v>1</v>
      </c>
      <c r="AQ14" s="83"/>
      <c r="AR14" s="81">
        <v>8</v>
      </c>
      <c r="AS14" s="83"/>
      <c r="AT14" s="81">
        <v>9</v>
      </c>
      <c r="AU14" s="83"/>
    </row>
    <row r="15" spans="1:54" ht="15" thickBot="1" x14ac:dyDescent="0.25">
      <c r="C15" s="76"/>
      <c r="D15" s="1"/>
      <c r="E15" s="1"/>
      <c r="F15" s="77"/>
      <c r="Q15" s="87">
        <v>2</v>
      </c>
      <c r="R15" s="88"/>
      <c r="S15" s="88"/>
      <c r="T15" s="89"/>
      <c r="V15" s="87">
        <v>2</v>
      </c>
      <c r="W15" s="88"/>
      <c r="X15" s="88"/>
      <c r="Y15" s="89"/>
      <c r="AE15" s="84"/>
      <c r="AF15" s="85"/>
      <c r="AG15" s="85"/>
      <c r="AH15" s="86"/>
      <c r="AI15" s="84"/>
      <c r="AJ15" s="85"/>
      <c r="AK15" s="85"/>
      <c r="AL15" s="86"/>
      <c r="AN15" s="84"/>
      <c r="AO15" s="86"/>
      <c r="AP15" s="84"/>
      <c r="AQ15" s="86"/>
      <c r="AR15" s="84"/>
      <c r="AS15" s="86"/>
      <c r="AT15" s="84"/>
      <c r="AU15" s="86"/>
    </row>
    <row r="16" spans="1:54" ht="15" thickBot="1" x14ac:dyDescent="0.25">
      <c r="C16" s="76"/>
      <c r="D16" s="1"/>
      <c r="E16" s="1"/>
      <c r="F16" s="77"/>
      <c r="Q16" s="87">
        <v>3</v>
      </c>
      <c r="R16" s="88"/>
      <c r="S16" s="88"/>
      <c r="T16" s="89"/>
      <c r="V16" s="87">
        <v>3</v>
      </c>
      <c r="W16" s="88"/>
      <c r="X16" s="88"/>
      <c r="Y16" s="89"/>
      <c r="AE16" s="81">
        <v>1</v>
      </c>
      <c r="AF16" s="82"/>
      <c r="AG16" s="82"/>
      <c r="AH16" s="83"/>
      <c r="AI16" s="81">
        <v>9</v>
      </c>
      <c r="AJ16" s="82"/>
      <c r="AK16" s="82"/>
      <c r="AL16" s="83"/>
      <c r="AN16" s="81">
        <v>2</v>
      </c>
      <c r="AO16" s="83"/>
      <c r="AP16" s="81">
        <v>3</v>
      </c>
      <c r="AQ16" s="83"/>
      <c r="AR16" s="81">
        <v>10</v>
      </c>
      <c r="AS16" s="83"/>
      <c r="AT16" s="81">
        <v>11</v>
      </c>
      <c r="AU16" s="83"/>
    </row>
    <row r="17" spans="1:47" ht="15" thickBot="1" x14ac:dyDescent="0.25">
      <c r="C17" s="76"/>
      <c r="D17" s="1"/>
      <c r="E17" s="1"/>
      <c r="F17" s="77"/>
      <c r="Q17" s="76"/>
      <c r="R17" s="1"/>
      <c r="S17" s="1"/>
      <c r="T17" s="77"/>
      <c r="V17" s="76"/>
      <c r="W17" s="1"/>
      <c r="X17" s="1"/>
      <c r="Y17" s="77"/>
      <c r="AE17" s="84"/>
      <c r="AF17" s="85"/>
      <c r="AG17" s="85"/>
      <c r="AH17" s="86"/>
      <c r="AI17" s="84"/>
      <c r="AJ17" s="85"/>
      <c r="AK17" s="85"/>
      <c r="AL17" s="86"/>
      <c r="AN17" s="84"/>
      <c r="AO17" s="86"/>
      <c r="AP17" s="84"/>
      <c r="AQ17" s="86"/>
      <c r="AR17" s="84"/>
      <c r="AS17" s="86"/>
      <c r="AT17" s="84"/>
      <c r="AU17" s="86"/>
    </row>
    <row r="18" spans="1:47" x14ac:dyDescent="0.2">
      <c r="C18" s="76"/>
      <c r="D18" s="1"/>
      <c r="E18" s="1"/>
      <c r="F18" s="77"/>
      <c r="Q18" s="76"/>
      <c r="R18" s="1"/>
      <c r="S18" s="1"/>
      <c r="T18" s="77"/>
      <c r="V18" s="76"/>
      <c r="W18" s="1"/>
      <c r="X18" s="1"/>
      <c r="Y18" s="77"/>
      <c r="AE18" s="81"/>
      <c r="AF18" s="82"/>
      <c r="AG18" s="82"/>
      <c r="AH18" s="83"/>
      <c r="AI18" s="81"/>
      <c r="AJ18" s="82"/>
      <c r="AK18" s="82"/>
      <c r="AL18" s="83"/>
      <c r="AN18" s="81">
        <v>4</v>
      </c>
      <c r="AO18" s="83"/>
      <c r="AP18" s="81">
        <v>5</v>
      </c>
      <c r="AQ18" s="83"/>
      <c r="AR18" s="81">
        <v>12</v>
      </c>
      <c r="AS18" s="83"/>
      <c r="AT18" s="81">
        <v>13</v>
      </c>
      <c r="AU18" s="83"/>
    </row>
    <row r="19" spans="1:47" ht="15" thickBot="1" x14ac:dyDescent="0.25">
      <c r="C19" s="76"/>
      <c r="D19" s="1"/>
      <c r="E19" s="1"/>
      <c r="F19" s="77"/>
      <c r="Q19" s="76"/>
      <c r="R19" s="1"/>
      <c r="S19" s="1"/>
      <c r="T19" s="77"/>
      <c r="V19" s="76"/>
      <c r="W19" s="1"/>
      <c r="X19" s="1"/>
      <c r="Y19" s="77"/>
      <c r="AE19" s="84"/>
      <c r="AF19" s="85"/>
      <c r="AG19" s="85"/>
      <c r="AH19" s="86"/>
      <c r="AI19" s="84"/>
      <c r="AJ19" s="85"/>
      <c r="AK19" s="85"/>
      <c r="AL19" s="86"/>
      <c r="AN19" s="84"/>
      <c r="AO19" s="86"/>
      <c r="AP19" s="84"/>
      <c r="AQ19" s="86"/>
      <c r="AR19" s="84"/>
      <c r="AS19" s="86"/>
      <c r="AT19" s="84"/>
      <c r="AU19" s="86"/>
    </row>
    <row r="20" spans="1:47" ht="15" thickBot="1" x14ac:dyDescent="0.25">
      <c r="C20" s="87">
        <v>15</v>
      </c>
      <c r="D20" s="88"/>
      <c r="E20" s="88"/>
      <c r="F20" s="89"/>
      <c r="Q20" s="87">
        <v>15</v>
      </c>
      <c r="R20" s="88"/>
      <c r="S20" s="88"/>
      <c r="T20" s="89"/>
      <c r="V20" s="87">
        <v>15</v>
      </c>
      <c r="W20" s="88"/>
      <c r="X20" s="88"/>
      <c r="Y20" s="89"/>
      <c r="AE20" s="81">
        <v>7</v>
      </c>
      <c r="AF20" s="82"/>
      <c r="AG20" s="82"/>
      <c r="AH20" s="83"/>
      <c r="AI20" s="81">
        <v>15</v>
      </c>
      <c r="AJ20" s="82"/>
      <c r="AK20" s="82"/>
      <c r="AL20" s="83"/>
      <c r="AN20" s="81">
        <v>6</v>
      </c>
      <c r="AO20" s="83"/>
      <c r="AP20" s="81">
        <v>7</v>
      </c>
      <c r="AQ20" s="83"/>
      <c r="AR20" s="81">
        <v>14</v>
      </c>
      <c r="AS20" s="83"/>
      <c r="AT20" s="81">
        <v>15</v>
      </c>
      <c r="AU20" s="83"/>
    </row>
    <row r="21" spans="1:47" ht="15" thickBot="1" x14ac:dyDescent="0.25">
      <c r="AE21" s="84"/>
      <c r="AF21" s="85"/>
      <c r="AG21" s="85"/>
      <c r="AH21" s="86"/>
      <c r="AI21" s="84"/>
      <c r="AJ21" s="85"/>
      <c r="AK21" s="85"/>
      <c r="AL21" s="86"/>
      <c r="AN21" s="84"/>
      <c r="AO21" s="86"/>
      <c r="AP21" s="84"/>
      <c r="AQ21" s="86"/>
      <c r="AR21" s="84"/>
      <c r="AS21" s="86"/>
      <c r="AT21" s="84"/>
      <c r="AU21" s="86"/>
    </row>
    <row r="22" spans="1:47" ht="15" thickBot="1" x14ac:dyDescent="0.25">
      <c r="A22" t="s">
        <v>315</v>
      </c>
      <c r="C22" t="s">
        <v>333</v>
      </c>
      <c r="O22" t="s">
        <v>310</v>
      </c>
      <c r="Q22" t="s">
        <v>333</v>
      </c>
    </row>
    <row r="23" spans="1:47" ht="15" thickBot="1" x14ac:dyDescent="0.25">
      <c r="C23" s="87" t="s">
        <v>316</v>
      </c>
      <c r="D23" s="88"/>
      <c r="E23" s="88"/>
      <c r="F23" s="89"/>
      <c r="G23" s="87" t="s">
        <v>317</v>
      </c>
      <c r="H23" s="88"/>
      <c r="I23" s="88"/>
      <c r="J23" s="89"/>
      <c r="Q23" s="87" t="s">
        <v>320</v>
      </c>
      <c r="R23" s="88"/>
      <c r="S23" s="88"/>
      <c r="T23" s="89"/>
      <c r="U23" s="87" t="s">
        <v>321</v>
      </c>
      <c r="V23" s="88"/>
      <c r="W23" s="88"/>
      <c r="X23" s="89"/>
    </row>
    <row r="24" spans="1:47" ht="15" thickBot="1" x14ac:dyDescent="0.25">
      <c r="C24" s="87">
        <v>1</v>
      </c>
      <c r="D24" s="88"/>
      <c r="E24" s="88"/>
      <c r="F24" s="89"/>
      <c r="G24" s="76"/>
      <c r="H24" s="1"/>
      <c r="I24" s="1"/>
      <c r="J24" s="77"/>
      <c r="Q24" s="87">
        <v>1</v>
      </c>
      <c r="R24" s="88"/>
      <c r="S24" s="88"/>
      <c r="T24" s="89"/>
      <c r="U24" s="76"/>
      <c r="V24" s="1"/>
      <c r="W24" s="1"/>
      <c r="X24" s="77"/>
    </row>
    <row r="25" spans="1:47" ht="15" thickBot="1" x14ac:dyDescent="0.25">
      <c r="C25" s="87">
        <v>2</v>
      </c>
      <c r="D25" s="88"/>
      <c r="E25" s="88"/>
      <c r="F25" s="89"/>
      <c r="G25" s="76"/>
      <c r="H25" s="1"/>
      <c r="I25" s="1"/>
      <c r="J25" s="77"/>
      <c r="Q25" s="87">
        <v>2</v>
      </c>
      <c r="R25" s="88"/>
      <c r="S25" s="88"/>
      <c r="T25" s="89"/>
      <c r="U25" s="76"/>
      <c r="V25" s="1"/>
      <c r="W25" s="1"/>
      <c r="X25" s="77"/>
    </row>
    <row r="26" spans="1:47" ht="15" thickBot="1" x14ac:dyDescent="0.25">
      <c r="C26" s="87">
        <v>3</v>
      </c>
      <c r="D26" s="88"/>
      <c r="E26" s="88"/>
      <c r="F26" s="89"/>
      <c r="G26" s="76"/>
      <c r="H26" s="1"/>
      <c r="I26" s="1"/>
      <c r="J26" s="77"/>
      <c r="Q26" s="87">
        <v>3</v>
      </c>
      <c r="R26" s="88"/>
      <c r="S26" s="88"/>
      <c r="T26" s="89"/>
      <c r="U26" s="76"/>
      <c r="V26" s="1"/>
      <c r="W26" s="1"/>
      <c r="X26" s="77"/>
    </row>
    <row r="27" spans="1:47" x14ac:dyDescent="0.2">
      <c r="C27" s="76"/>
      <c r="D27" s="1"/>
      <c r="E27" s="1"/>
      <c r="F27" s="77"/>
      <c r="G27" s="76"/>
      <c r="H27" s="1"/>
      <c r="I27" s="1"/>
      <c r="J27" s="77"/>
      <c r="Q27" s="76"/>
      <c r="R27" s="1"/>
      <c r="S27" s="1"/>
      <c r="T27" s="77"/>
      <c r="U27" s="76"/>
      <c r="V27" s="1"/>
      <c r="W27" s="1"/>
      <c r="X27" s="77"/>
    </row>
    <row r="28" spans="1:47" x14ac:dyDescent="0.2">
      <c r="C28" s="76"/>
      <c r="D28" s="1"/>
      <c r="E28" s="1"/>
      <c r="F28" s="77"/>
      <c r="G28" s="76"/>
      <c r="H28" s="1"/>
      <c r="I28" s="1"/>
      <c r="J28" s="77"/>
      <c r="Q28" s="76"/>
      <c r="R28" s="1"/>
      <c r="S28" s="1"/>
      <c r="T28" s="77"/>
      <c r="U28" s="76"/>
      <c r="V28" s="1"/>
      <c r="W28" s="1"/>
      <c r="X28" s="77"/>
    </row>
    <row r="29" spans="1:47" ht="15" thickBot="1" x14ac:dyDescent="0.25">
      <c r="C29" s="76"/>
      <c r="D29" s="1"/>
      <c r="E29" s="1"/>
      <c r="F29" s="77"/>
      <c r="G29" s="76"/>
      <c r="H29" s="1"/>
      <c r="I29" s="1"/>
      <c r="J29" s="77"/>
      <c r="Q29" s="76"/>
      <c r="R29" s="1"/>
      <c r="S29" s="1"/>
      <c r="T29" s="77"/>
      <c r="U29" s="76"/>
      <c r="V29" s="1"/>
      <c r="W29" s="1"/>
      <c r="X29" s="77"/>
    </row>
    <row r="30" spans="1:47" ht="15" thickBot="1" x14ac:dyDescent="0.25">
      <c r="C30" s="87">
        <v>31</v>
      </c>
      <c r="D30" s="88"/>
      <c r="E30" s="88"/>
      <c r="F30" s="89"/>
      <c r="G30" s="84">
        <v>63</v>
      </c>
      <c r="H30" s="85"/>
      <c r="I30" s="85"/>
      <c r="J30" s="86"/>
      <c r="Q30" s="87">
        <v>15</v>
      </c>
      <c r="R30" s="88"/>
      <c r="S30" s="88"/>
      <c r="T30" s="89"/>
      <c r="U30" s="84">
        <v>31</v>
      </c>
      <c r="V30" s="85"/>
      <c r="W30" s="85"/>
      <c r="X30" s="86"/>
    </row>
    <row r="32" spans="1:47" ht="15" thickBot="1" x14ac:dyDescent="0.25">
      <c r="C32" s="94" t="s">
        <v>332</v>
      </c>
      <c r="Q32" s="94" t="s">
        <v>332</v>
      </c>
    </row>
    <row r="33" spans="1:20" ht="15" thickBot="1" x14ac:dyDescent="0.25">
      <c r="C33" s="87" t="s">
        <v>316</v>
      </c>
      <c r="D33" s="88"/>
      <c r="E33" s="88"/>
      <c r="F33" s="89"/>
      <c r="G33" s="87" t="s">
        <v>338</v>
      </c>
      <c r="H33" s="88"/>
      <c r="I33" s="88"/>
      <c r="J33" s="89"/>
      <c r="Q33" s="87" t="s">
        <v>316</v>
      </c>
      <c r="R33" s="88"/>
      <c r="S33" s="88"/>
      <c r="T33" s="89"/>
    </row>
    <row r="34" spans="1:20" ht="15" thickBot="1" x14ac:dyDescent="0.25">
      <c r="C34" s="87">
        <v>2</v>
      </c>
      <c r="D34" s="88"/>
      <c r="E34" s="88"/>
      <c r="F34" s="89"/>
      <c r="G34" s="87">
        <v>3</v>
      </c>
      <c r="H34" s="88"/>
      <c r="I34" s="88"/>
      <c r="J34" s="89"/>
      <c r="Q34" s="81">
        <v>1</v>
      </c>
      <c r="R34" s="82"/>
      <c r="S34" s="82"/>
      <c r="T34" s="83"/>
    </row>
    <row r="35" spans="1:20" ht="15" thickBot="1" x14ac:dyDescent="0.25">
      <c r="C35" s="87"/>
      <c r="D35" s="88"/>
      <c r="E35" s="88"/>
      <c r="F35" s="89"/>
      <c r="G35" s="76"/>
      <c r="H35" s="1"/>
      <c r="I35" s="1"/>
      <c r="J35" s="77"/>
      <c r="Q35" s="76"/>
      <c r="R35" s="1"/>
      <c r="S35" s="1"/>
      <c r="T35" s="77"/>
    </row>
    <row r="36" spans="1:20" ht="15" thickBot="1" x14ac:dyDescent="0.25">
      <c r="C36" s="87"/>
      <c r="D36" s="88"/>
      <c r="E36" s="88"/>
      <c r="F36" s="89"/>
      <c r="G36" s="76"/>
      <c r="H36" s="1"/>
      <c r="I36" s="1"/>
      <c r="J36" s="77"/>
      <c r="Q36" s="76"/>
      <c r="R36" s="1"/>
      <c r="S36" s="1"/>
      <c r="T36" s="77"/>
    </row>
    <row r="37" spans="1:20" x14ac:dyDescent="0.2">
      <c r="C37" s="76"/>
      <c r="D37" s="1"/>
      <c r="E37" s="1"/>
      <c r="F37" s="77"/>
      <c r="G37" s="76"/>
      <c r="H37" s="1"/>
      <c r="I37" s="1"/>
      <c r="J37" s="77"/>
      <c r="Q37" s="76"/>
      <c r="R37" s="1"/>
      <c r="S37" s="1"/>
      <c r="T37" s="77"/>
    </row>
    <row r="38" spans="1:20" x14ac:dyDescent="0.2">
      <c r="C38" s="76"/>
      <c r="D38" s="1"/>
      <c r="E38" s="1"/>
      <c r="F38" s="77"/>
      <c r="G38" s="76"/>
      <c r="H38" s="1"/>
      <c r="I38" s="1"/>
      <c r="J38" s="77"/>
      <c r="Q38" s="76"/>
      <c r="R38" s="1"/>
      <c r="S38" s="1"/>
      <c r="T38" s="77"/>
    </row>
    <row r="39" spans="1:20" ht="15" thickBot="1" x14ac:dyDescent="0.25">
      <c r="C39" s="76"/>
      <c r="D39" s="1"/>
      <c r="E39" s="1"/>
      <c r="F39" s="77"/>
      <c r="G39" s="76"/>
      <c r="H39" s="1"/>
      <c r="I39" s="1"/>
      <c r="J39" s="77"/>
      <c r="Q39" s="76"/>
      <c r="R39" s="1"/>
      <c r="S39" s="1"/>
      <c r="T39" s="77"/>
    </row>
    <row r="40" spans="1:20" ht="15" thickBot="1" x14ac:dyDescent="0.25">
      <c r="C40" s="87">
        <v>62</v>
      </c>
      <c r="D40" s="88"/>
      <c r="E40" s="88"/>
      <c r="F40" s="89"/>
      <c r="G40" s="84">
        <v>63</v>
      </c>
      <c r="H40" s="85"/>
      <c r="I40" s="85"/>
      <c r="J40" s="86"/>
      <c r="Q40" s="87">
        <v>15</v>
      </c>
      <c r="R40" s="88"/>
      <c r="S40" s="88"/>
      <c r="T40" s="89"/>
    </row>
    <row r="42" spans="1:20" x14ac:dyDescent="0.2">
      <c r="A42" t="s">
        <v>334</v>
      </c>
      <c r="C42" t="s">
        <v>335</v>
      </c>
      <c r="O42" t="s">
        <v>336</v>
      </c>
      <c r="Q42" t="s">
        <v>337</v>
      </c>
    </row>
  </sheetData>
  <mergeCells count="86">
    <mergeCell ref="C34:F34"/>
    <mergeCell ref="G33:J33"/>
    <mergeCell ref="C33:F33"/>
    <mergeCell ref="C40:F40"/>
    <mergeCell ref="G40:J40"/>
    <mergeCell ref="C36:F36"/>
    <mergeCell ref="AY3:AZ6"/>
    <mergeCell ref="BA3:BB6"/>
    <mergeCell ref="AY7:AZ10"/>
    <mergeCell ref="BA7:BB10"/>
    <mergeCell ref="G34:J34"/>
    <mergeCell ref="C35:F35"/>
    <mergeCell ref="Q33:T33"/>
    <mergeCell ref="Q34:T34"/>
    <mergeCell ref="Q40:T40"/>
    <mergeCell ref="AN13:AQ13"/>
    <mergeCell ref="AE14:AH15"/>
    <mergeCell ref="AE16:AH17"/>
    <mergeCell ref="AE18:AH19"/>
    <mergeCell ref="AE20:AH21"/>
    <mergeCell ref="AI14:AL15"/>
    <mergeCell ref="AI16:AL17"/>
    <mergeCell ref="AI18:AL19"/>
    <mergeCell ref="AI20:AL21"/>
    <mergeCell ref="AT14:AU15"/>
    <mergeCell ref="AR16:AS17"/>
    <mergeCell ref="AT16:AU17"/>
    <mergeCell ref="AR18:AS19"/>
    <mergeCell ref="AT18:AU19"/>
    <mergeCell ref="AT20:AU21"/>
    <mergeCell ref="AR20:AS21"/>
    <mergeCell ref="AN16:AO17"/>
    <mergeCell ref="AN18:AO19"/>
    <mergeCell ref="AP18:AQ19"/>
    <mergeCell ref="AN20:AO21"/>
    <mergeCell ref="AP20:AQ21"/>
    <mergeCell ref="AR14:AS15"/>
    <mergeCell ref="AN14:AO15"/>
    <mergeCell ref="AP14:AQ15"/>
    <mergeCell ref="AP16:AQ17"/>
    <mergeCell ref="Q3:R3"/>
    <mergeCell ref="Q6:R6"/>
    <mergeCell ref="Q20:T20"/>
    <mergeCell ref="V13:Y13"/>
    <mergeCell ref="V14:Y14"/>
    <mergeCell ref="V15:Y15"/>
    <mergeCell ref="V16:Y16"/>
    <mergeCell ref="V20:Y20"/>
    <mergeCell ref="AE13:AH13"/>
    <mergeCell ref="U30:X30"/>
    <mergeCell ref="A1:Z1"/>
    <mergeCell ref="AC1:AV1"/>
    <mergeCell ref="AE3:AH4"/>
    <mergeCell ref="AJ3:AK6"/>
    <mergeCell ref="AL3:AM6"/>
    <mergeCell ref="AE5:AH6"/>
    <mergeCell ref="AE7:AH8"/>
    <mergeCell ref="AJ7:AK10"/>
    <mergeCell ref="AL7:AM10"/>
    <mergeCell ref="Q23:T23"/>
    <mergeCell ref="U23:X23"/>
    <mergeCell ref="Q24:T24"/>
    <mergeCell ref="Q13:T13"/>
    <mergeCell ref="Q14:T14"/>
    <mergeCell ref="Q15:T15"/>
    <mergeCell ref="Q16:T16"/>
    <mergeCell ref="C30:F30"/>
    <mergeCell ref="G30:J30"/>
    <mergeCell ref="Q25:T25"/>
    <mergeCell ref="Q26:T26"/>
    <mergeCell ref="Q30:T30"/>
    <mergeCell ref="C23:F23"/>
    <mergeCell ref="G23:J23"/>
    <mergeCell ref="C14:F14"/>
    <mergeCell ref="C24:F24"/>
    <mergeCell ref="C25:F25"/>
    <mergeCell ref="C26:F26"/>
    <mergeCell ref="C20:F20"/>
    <mergeCell ref="C3:F4"/>
    <mergeCell ref="C13:F13"/>
    <mergeCell ref="H3:I6"/>
    <mergeCell ref="H7:I10"/>
    <mergeCell ref="J3:K6"/>
    <mergeCell ref="C5:F6"/>
    <mergeCell ref="C7:F8"/>
    <mergeCell ref="J7:K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v0</vt:lpstr>
      <vt:lpstr>264PMF Y c0 round0</vt:lpstr>
      <vt:lpstr>264PMF Y c1 round0</vt:lpstr>
      <vt:lpstr>264PMF UV c0 round0</vt:lpstr>
      <vt:lpstr>264PMF UV c1 round0</vt:lpstr>
      <vt:lpstr>PMF c0 round0</vt:lpstr>
      <vt:lpstr>PMF sp c0 round0</vt:lpstr>
      <vt:lpstr>PMF sp c0 round1-3</vt:lpstr>
      <vt:lpstr>PMF c0 round1-3</vt:lpstr>
      <vt:lpstr>PMF c1 round0</vt:lpstr>
      <vt:lpstr>PMF c1 round1-3</vt:lpstr>
      <vt:lpstr>PMF UV c0 round0</vt:lpstr>
      <vt:lpstr>PMF UV c0 round1-3</vt:lpstr>
      <vt:lpstr>PMF UV c1 round0</vt:lpstr>
      <vt:lpstr>PMF UV c1 round1-3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Huangtao Wu</dc:creator>
  <cp:lastModifiedBy>Huangtao Wu</cp:lastModifiedBy>
  <cp:lastPrinted>2025-12-24T08:49:35Z</cp:lastPrinted>
  <dcterms:created xsi:type="dcterms:W3CDTF">2025-12-10T06:48:06Z</dcterms:created>
  <dcterms:modified xsi:type="dcterms:W3CDTF">2026-01-06T07:18:51Z</dcterms:modified>
</cp:coreProperties>
</file>